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6FAF9771-9DB2-4A1A-D8F3-B0B0F40AE569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bripalmisano/Downloads/"/>
    </mc:Choice>
  </mc:AlternateContent>
  <xr:revisionPtr revIDLastSave="0" documentId="8_{3E1D2C35-DEBF-894C-9B82-540CA14D7CAF}" xr6:coauthVersionLast="47" xr6:coauthVersionMax="47" xr10:uidLastSave="{00000000-0000-0000-0000-000000000000}"/>
  <bookViews>
    <workbookView xWindow="0" yWindow="500" windowWidth="17660" windowHeight="8600" tabRatio="903" firstSheet="2" activeTab="2" xr2:uid="{D1138D52-C842-4D31-90C7-5259BC0B9FA5}"/>
  </bookViews>
  <sheets>
    <sheet name="EnterInfo" sheetId="1" r:id="rId1"/>
    <sheet name="PetProfileInfoDatabase" sheetId="4" r:id="rId2"/>
    <sheet name="OwnerProfileInfoDatabase" sheetId="7" r:id="rId3"/>
    <sheet name="AppointmentInfoDatabase" sheetId="5" r:id="rId4"/>
    <sheet name="AppointmentConfirmationDatabase" sheetId="8" r:id="rId5"/>
    <sheet name="Data.EnterInfo" sheetId="2" state="hidden" r:id="rId6"/>
  </sheets>
  <functionGroups builtInGroupCount="19"/>
  <definedNames>
    <definedName name="AddressLine1">EnterInfo!$F$22</definedName>
    <definedName name="AddressLine2">EnterInfo!$F$23</definedName>
    <definedName name="DateTable">Table.Date[Date]</definedName>
    <definedName name="EmailAddress">EnterInfo!$F$21</definedName>
    <definedName name="Find_My_Pet">EnterInfo!$C$10</definedName>
    <definedName name="Groomer">EnterInfo!$C$13</definedName>
    <definedName name="OwnerFirstname">EnterInfo!$F$18</definedName>
    <definedName name="OwnerLastname">EnterInfo!$F$19</definedName>
    <definedName name="Pet">Table1[Pet]</definedName>
    <definedName name="Petgo_Location">EnterInfo!$C$12</definedName>
    <definedName name="PhoneNumber">EnterInfo!$F$20</definedName>
    <definedName name="_xlnm.Print_Area" localSheetId="4">AppointmentConfirmationDatabase!$A$1:$D$20</definedName>
    <definedName name="_xlnm.Print_Area" localSheetId="3">AppointmentInfoDatabase!$A$1:$P$24</definedName>
    <definedName name="_xlnm.Print_Area" localSheetId="0">EnterInfo!$A$1:$G$56</definedName>
    <definedName name="_xlnm.Print_Area" localSheetId="2">OwnerProfileInfoDatabase!$A$1:$M$24</definedName>
    <definedName name="_xlnm.Print_Area" localSheetId="1">PetProfileInfoDatabase!$A$1:$M$24</definedName>
    <definedName name="Search_Pets">EnterInfo!$F$10</definedName>
    <definedName name="SelectAppointmentDate">EnterInfo!$F$12</definedName>
    <definedName name="SelectAppointmentTime">EnterInfo!$F$13</definedName>
    <definedName name="SelectService">EnterInfo!$B$33</definedName>
    <definedName name="SelectUpgrade">EnterInfo!$B$37</definedName>
    <definedName name="State" localSheetId="5">Table15[State]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8" l="1"/>
  <c r="C9" i="8"/>
  <c r="G5" i="5"/>
  <c r="F5" i="5"/>
  <c r="B156" i="5"/>
  <c r="E44" i="1" a="1"/>
  <c r="E44" i="1" l="1"/>
  <c r="E46" i="1" l="1"/>
  <c r="E4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<sst xmlns="http://schemas.openxmlformats.org/spreadsheetml/2006/main" count="645" uniqueCount="542">
  <si>
    <t>Petgo Grooming - Appointment Booking VBA</t>
  </si>
  <si>
    <t>Petgo Location</t>
  </si>
  <si>
    <t>City</t>
  </si>
  <si>
    <t>Pet</t>
  </si>
  <si>
    <t>Appointment Date</t>
  </si>
  <si>
    <t>Date</t>
  </si>
  <si>
    <t>New Pet</t>
  </si>
  <si>
    <t>Find My Pet</t>
  </si>
  <si>
    <t>Appointment Time</t>
  </si>
  <si>
    <t>St. James</t>
  </si>
  <si>
    <t>Ronkonkoma</t>
  </si>
  <si>
    <t>Bayport</t>
  </si>
  <si>
    <t>Location</t>
  </si>
  <si>
    <t>Time Slots</t>
  </si>
  <si>
    <t>New Pet Profile Information</t>
  </si>
  <si>
    <t>Pet Name</t>
  </si>
  <si>
    <t>Sex</t>
  </si>
  <si>
    <t>Breed</t>
  </si>
  <si>
    <t>Color</t>
  </si>
  <si>
    <t>Weight</t>
  </si>
  <si>
    <t>Date of Birth</t>
  </si>
  <si>
    <t>Phone Number</t>
  </si>
  <si>
    <t>Email Address</t>
  </si>
  <si>
    <t>Owner's Lastname</t>
  </si>
  <si>
    <t>Afador</t>
  </si>
  <si>
    <t>Affenhuahua</t>
  </si>
  <si>
    <t>Affenpinscher</t>
  </si>
  <si>
    <t>Afghan Hound</t>
  </si>
  <si>
    <t>Airedale Terrier</t>
  </si>
  <si>
    <t>Akbash</t>
  </si>
  <si>
    <t>Akita</t>
  </si>
  <si>
    <t>Akita Chow</t>
  </si>
  <si>
    <t>Akita Pit</t>
  </si>
  <si>
    <t>Akita Shepherd</t>
  </si>
  <si>
    <t>Alaskan Klee Kai</t>
  </si>
  <si>
    <t>Alaskan Malamute</t>
  </si>
  <si>
    <t>American Bulldog</t>
  </si>
  <si>
    <t>American English Coonhound</t>
  </si>
  <si>
    <t>American Eskimo Dog</t>
  </si>
  <si>
    <t>American Foxhound</t>
  </si>
  <si>
    <t>American Hairless Terrier</t>
  </si>
  <si>
    <t>American Leopard Hound</t>
  </si>
  <si>
    <t>American Pit Bull Terrier</t>
  </si>
  <si>
    <t>American Pugabull</t>
  </si>
  <si>
    <t>American Staffordshire Terrier</t>
  </si>
  <si>
    <t>American Water Spaniel</t>
  </si>
  <si>
    <t>Anatolian Shepherd Dog</t>
  </si>
  <si>
    <t>Appenzeller Sennenhunde</t>
  </si>
  <si>
    <t>Auggie</t>
  </si>
  <si>
    <t>Aussiedoodle</t>
  </si>
  <si>
    <t>Aussiepom</t>
  </si>
  <si>
    <t>Australian Cattle Dog</t>
  </si>
  <si>
    <t>Australian Kelpie</t>
  </si>
  <si>
    <t>Australian Retriever</t>
  </si>
  <si>
    <t>Australian Shepherd</t>
  </si>
  <si>
    <t>Australian Shepherd Husky</t>
  </si>
  <si>
    <t>Australian Shepherd Lab Mix</t>
  </si>
  <si>
    <t>Australian Shepherd Pit Bull Mix</t>
  </si>
  <si>
    <t>Australian Stumpy Tail Cattle Dog</t>
  </si>
  <si>
    <t>Australian Terrier</t>
  </si>
  <si>
    <t>Azawakh</t>
  </si>
  <si>
    <t>Barbet</t>
  </si>
  <si>
    <t>Basenji</t>
  </si>
  <si>
    <t>Bassador</t>
  </si>
  <si>
    <t>Basset Fauve de Bretagne</t>
  </si>
  <si>
    <t>Basset Hound</t>
  </si>
  <si>
    <t>Basset Retriever</t>
  </si>
  <si>
    <t>Bavarian Mountain Scent Hound</t>
  </si>
  <si>
    <t>Beabull</t>
  </si>
  <si>
    <t>Beagle</t>
  </si>
  <si>
    <t>Beaglier</t>
  </si>
  <si>
    <t>Bearded Collie</t>
  </si>
  <si>
    <t>Bedlington Terrier</t>
  </si>
  <si>
    <t>Belgian Malinois</t>
  </si>
  <si>
    <t>Belgian Sheepdog</t>
  </si>
  <si>
    <t>Belgian Tervuren</t>
  </si>
  <si>
    <t>Bergamasco Sheepdog</t>
  </si>
  <si>
    <t>Berger Picard</t>
  </si>
  <si>
    <t>Bernedoodle</t>
  </si>
  <si>
    <t>Bernese Mountain Dog</t>
  </si>
  <si>
    <t>Bichon Frise</t>
  </si>
  <si>
    <t>Biewer Terrier</t>
  </si>
  <si>
    <t>Black and Tan Coonhound</t>
  </si>
  <si>
    <t>Black Mouth Cur</t>
  </si>
  <si>
    <t>Black Russian Terrier</t>
  </si>
  <si>
    <t>Bloodhound</t>
  </si>
  <si>
    <t>Blue Lacy</t>
  </si>
  <si>
    <t>Bluetick Coonhound</t>
  </si>
  <si>
    <t>Bocker</t>
  </si>
  <si>
    <t>Boerboel</t>
  </si>
  <si>
    <t>Boglen Terrier</t>
  </si>
  <si>
    <t>Bohemian Shepherd</t>
  </si>
  <si>
    <t>Bolognese</t>
  </si>
  <si>
    <t>Borador</t>
  </si>
  <si>
    <t>Border Collie</t>
  </si>
  <si>
    <t>Border Sheepdog</t>
  </si>
  <si>
    <t>Border Terrier</t>
  </si>
  <si>
    <t>Bordoodle</t>
  </si>
  <si>
    <t>Borzoi</t>
  </si>
  <si>
    <t>BoShih</t>
  </si>
  <si>
    <t>Bossie</t>
  </si>
  <si>
    <t>Boston Boxer</t>
  </si>
  <si>
    <t>Boston Terrier</t>
  </si>
  <si>
    <t>Boston Terrier Pekingese Mix</t>
  </si>
  <si>
    <t>Bouvier des Flandres</t>
  </si>
  <si>
    <t>Boxador</t>
  </si>
  <si>
    <t>Boxer</t>
  </si>
  <si>
    <t>Boxerdoodle</t>
  </si>
  <si>
    <t>Boxmatian</t>
  </si>
  <si>
    <t>Boxweiler</t>
  </si>
  <si>
    <t>Boykin Spaniel</t>
  </si>
  <si>
    <t>Bracco Italiano</t>
  </si>
  <si>
    <t>Braque du Bourbonnais</t>
  </si>
  <si>
    <t>Briard</t>
  </si>
  <si>
    <t>Brittany</t>
  </si>
  <si>
    <t>Broholmer</t>
  </si>
  <si>
    <t>Brussels Griffon</t>
  </si>
  <si>
    <t>Bugg</t>
  </si>
  <si>
    <t>Bull-Pei</t>
  </si>
  <si>
    <t>Bull Terrier</t>
  </si>
  <si>
    <t>Bullador</t>
  </si>
  <si>
    <t>Bullboxer Pit</t>
  </si>
  <si>
    <t>Bulldog</t>
  </si>
  <si>
    <t>Bullmastiff</t>
  </si>
  <si>
    <t>Bullmatian</t>
  </si>
  <si>
    <t>Cairn Terrier</t>
  </si>
  <si>
    <t>Canaan Dog</t>
  </si>
  <si>
    <t>Cane Corso</t>
  </si>
  <si>
    <t>Cardigan Welsh Corgi</t>
  </si>
  <si>
    <t>Carolina Dog</t>
  </si>
  <si>
    <t>Catahoula Bulldog</t>
  </si>
  <si>
    <t>Catahoula Leopard Dog</t>
  </si>
  <si>
    <t>Caucasian Shepherd Dog</t>
  </si>
  <si>
    <t>Cav-a-Jack</t>
  </si>
  <si>
    <t>Cavachon</t>
  </si>
  <si>
    <t>Cavador</t>
  </si>
  <si>
    <t>Cavalier King Charles Spaniel</t>
  </si>
  <si>
    <t>Cavapoo</t>
  </si>
  <si>
    <t>Central Asian Shepherd Dog</t>
  </si>
  <si>
    <t>Cesky Terrier</t>
  </si>
  <si>
    <t>Chabrador</t>
  </si>
  <si>
    <t>Cheagle</t>
  </si>
  <si>
    <t>Chesapeake Bay Retriever</t>
  </si>
  <si>
    <t>Chi Chi</t>
  </si>
  <si>
    <t>Chi-Poo</t>
  </si>
  <si>
    <t>Chigi</t>
  </si>
  <si>
    <t>Chihuahua</t>
  </si>
  <si>
    <t>Chilier</t>
  </si>
  <si>
    <t>Chinese Crested</t>
  </si>
  <si>
    <t>Chinese Shar-Pei</t>
  </si>
  <si>
    <t>Chinook</t>
  </si>
  <si>
    <t>Chion</t>
  </si>
  <si>
    <t>Chipin</t>
  </si>
  <si>
    <t>Chiweenie</t>
  </si>
  <si>
    <t>Chorkie</t>
  </si>
  <si>
    <t>Chow Chow</t>
  </si>
  <si>
    <t>Chow Shepherd</t>
  </si>
  <si>
    <t>Chug</t>
  </si>
  <si>
    <t>Chusky</t>
  </si>
  <si>
    <t>Cirneco dell’Etna</t>
  </si>
  <si>
    <t>Clumber Spaniel</t>
  </si>
  <si>
    <t>Cockalier</t>
  </si>
  <si>
    <t>Cockapoo</t>
  </si>
  <si>
    <t>Cocker Spaniel</t>
  </si>
  <si>
    <t>Collie</t>
  </si>
  <si>
    <t>Corgi Inu</t>
  </si>
  <si>
    <t>Corgidor</t>
  </si>
  <si>
    <t>Corman Shepherd</t>
  </si>
  <si>
    <t>Coton de Tulear</t>
  </si>
  <si>
    <t>Croatian Sheepdog</t>
  </si>
  <si>
    <t>Curly-Coated Retriever</t>
  </si>
  <si>
    <t>Dachsador</t>
  </si>
  <si>
    <t>Dachshund</t>
  </si>
  <si>
    <t>Dalmatian</t>
  </si>
  <si>
    <t>Dandie Dinmont Terrier</t>
  </si>
  <si>
    <t>Daniff</t>
  </si>
  <si>
    <t>Deutscher Wachtelhund</t>
  </si>
  <si>
    <t>Doberdor</t>
  </si>
  <si>
    <t>Doberman Pinscher</t>
  </si>
  <si>
    <t>Docker</t>
  </si>
  <si>
    <t>Dogo Argentino</t>
  </si>
  <si>
    <t>Dogue de Bordeaux</t>
  </si>
  <si>
    <t>Dorgi</t>
  </si>
  <si>
    <t>Dorkie</t>
  </si>
  <si>
    <t>Doxiepoo</t>
  </si>
  <si>
    <t>Doxle</t>
  </si>
  <si>
    <t>Drentsche Patrijshond</t>
  </si>
  <si>
    <t>Drever</t>
  </si>
  <si>
    <t>Dutch Shepherd</t>
  </si>
  <si>
    <t>English Cocker Spaniel</t>
  </si>
  <si>
    <t>English Foxhound</t>
  </si>
  <si>
    <t>English Setter</t>
  </si>
  <si>
    <t>English Springer Spaniel</t>
  </si>
  <si>
    <t>English Toy Spaniel</t>
  </si>
  <si>
    <t>Entlebucher Mountain Dog</t>
  </si>
  <si>
    <t>Estrela Mountain Dog</t>
  </si>
  <si>
    <t>Eurasier</t>
  </si>
  <si>
    <t>Field Spaniel</t>
  </si>
  <si>
    <t>Fila Brasileiro</t>
  </si>
  <si>
    <t>Finnish Lapphund</t>
  </si>
  <si>
    <t>Finnish Spitz</t>
  </si>
  <si>
    <t>Flat-Coated Retriever</t>
  </si>
  <si>
    <t>Fox Terrier</t>
  </si>
  <si>
    <t>French Bulldog</t>
  </si>
  <si>
    <t>French Bullhuahua</t>
  </si>
  <si>
    <t>French Spaniel</t>
  </si>
  <si>
    <t>Frenchton</t>
  </si>
  <si>
    <t>Frengle</t>
  </si>
  <si>
    <t>German Longhaired Pointer</t>
  </si>
  <si>
    <t>German Pinscher</t>
  </si>
  <si>
    <t>German Shepherd Dog</t>
  </si>
  <si>
    <t>German Shepherd Pit Bull</t>
  </si>
  <si>
    <t>German Shepherd Rottweiler Mix</t>
  </si>
  <si>
    <t>German Sheprador</t>
  </si>
  <si>
    <t>German Shorthaired Pointer</t>
  </si>
  <si>
    <t>German Spitz</t>
  </si>
  <si>
    <t>German Wirehaired Pointer</t>
  </si>
  <si>
    <t>Giant Schnauzer</t>
  </si>
  <si>
    <t>Glen of Imaal Terrier</t>
  </si>
  <si>
    <t>Goberian</t>
  </si>
  <si>
    <t>Goldador</t>
  </si>
  <si>
    <t>Golden Cocker Retriever</t>
  </si>
  <si>
    <t>Golden Mountain Dog</t>
  </si>
  <si>
    <t>Golden Retriever</t>
  </si>
  <si>
    <t>Golden Retriever Corgi</t>
  </si>
  <si>
    <t>Golden Shepherd</t>
  </si>
  <si>
    <t>Goldendoodle</t>
  </si>
  <si>
    <t>Gollie</t>
  </si>
  <si>
    <t>Gordon Setter</t>
  </si>
  <si>
    <t>Great Dane</t>
  </si>
  <si>
    <t>Great Pyrenees</t>
  </si>
  <si>
    <t>Greater Swiss Mountain Dog</t>
  </si>
  <si>
    <t>Greyador</t>
  </si>
  <si>
    <t>Greyhound</t>
  </si>
  <si>
    <t>Hamiltonstovare</t>
  </si>
  <si>
    <t>Hanoverian Scenthound</t>
  </si>
  <si>
    <t>Harrier</t>
  </si>
  <si>
    <t>Havanese</t>
  </si>
  <si>
    <t>Hokkaido</t>
  </si>
  <si>
    <t>Horgi</t>
  </si>
  <si>
    <t>Huskita</t>
  </si>
  <si>
    <t>Huskydoodle</t>
  </si>
  <si>
    <t>Ibizan Hound</t>
  </si>
  <si>
    <t>Icelandic Sheepdog</t>
  </si>
  <si>
    <t>Irish Red and White Setter</t>
  </si>
  <si>
    <t>Irish Setter</t>
  </si>
  <si>
    <t>Irish Terrier</t>
  </si>
  <si>
    <t>Irish Water Spaniel</t>
  </si>
  <si>
    <t>Irish Wolfhound</t>
  </si>
  <si>
    <t>Italian Greyhound</t>
  </si>
  <si>
    <t>Jack-A-Poo</t>
  </si>
  <si>
    <t>Jack Chi</t>
  </si>
  <si>
    <t>Jack Russell Terrier</t>
  </si>
  <si>
    <t>Jackshund</t>
  </si>
  <si>
    <t>Japanese Chin</t>
  </si>
  <si>
    <t>Japanese Spitz</t>
  </si>
  <si>
    <t>Korean Jindo Dog</t>
  </si>
  <si>
    <t>Karelian Bear Dog</t>
  </si>
  <si>
    <t>Keeshond</t>
  </si>
  <si>
    <t>Kerry Blue Terrier</t>
  </si>
  <si>
    <t>King Shepherd</t>
  </si>
  <si>
    <t>Komondor</t>
  </si>
  <si>
    <t>Kooikerhondje</t>
  </si>
  <si>
    <t>Kuvasz</t>
  </si>
  <si>
    <t>Kyi-Leo</t>
  </si>
  <si>
    <t>Lab Pointer</t>
  </si>
  <si>
    <t>Labernese</t>
  </si>
  <si>
    <t>Labmaraner</t>
  </si>
  <si>
    <t>Labrabull</t>
  </si>
  <si>
    <t>Labradane</t>
  </si>
  <si>
    <t>Labradoodle</t>
  </si>
  <si>
    <t>Labrador Retriever</t>
  </si>
  <si>
    <t>Labrastaff</t>
  </si>
  <si>
    <t>Labsky</t>
  </si>
  <si>
    <t>Lagotto Romagnolo</t>
  </si>
  <si>
    <t>Lakeland Terrier</t>
  </si>
  <si>
    <t>Lancashire Heeler</t>
  </si>
  <si>
    <t>Leonberger</t>
  </si>
  <si>
    <t>Lhasa Apso</t>
  </si>
  <si>
    <t>Lhasapoo</t>
  </si>
  <si>
    <t>Lowchen</t>
  </si>
  <si>
    <t>Maltese</t>
  </si>
  <si>
    <t>Maltese Shih Tzu</t>
  </si>
  <si>
    <t>Maltipoo</t>
  </si>
  <si>
    <t>Manchester Terrier</t>
  </si>
  <si>
    <t>Mastador</t>
  </si>
  <si>
    <t>Mastiff</t>
  </si>
  <si>
    <t>Miniature Pinscher</t>
  </si>
  <si>
    <t>Miniature Schnauzer</t>
  </si>
  <si>
    <t>Morkie</t>
  </si>
  <si>
    <t>Mudi</t>
  </si>
  <si>
    <t>Mutt</t>
  </si>
  <si>
    <t>Neapolitan Mastiff</t>
  </si>
  <si>
    <t>Newfoundland</t>
  </si>
  <si>
    <t>Norfolk Terrier</t>
  </si>
  <si>
    <t>Norwegian Buhund</t>
  </si>
  <si>
    <t>Norwegian Elkhound</t>
  </si>
  <si>
    <t>Norwegian Lundehund</t>
  </si>
  <si>
    <t>Norwich Terrier</t>
  </si>
  <si>
    <t>Nova Scotia Duck Tolling Retriever</t>
  </si>
  <si>
    <t>Old English Sheepdog</t>
  </si>
  <si>
    <t>Otterhound</t>
  </si>
  <si>
    <t>Papillon</t>
  </si>
  <si>
    <t>Papipoo</t>
  </si>
  <si>
    <t>Peekapoo</t>
  </si>
  <si>
    <t>Pekingese</t>
  </si>
  <si>
    <t>Pembroke Welsh Corgi</t>
  </si>
  <si>
    <t>Petit Basset Griffon Vendéen</t>
  </si>
  <si>
    <t>Pharaoh Hound</t>
  </si>
  <si>
    <t>Pitsky</t>
  </si>
  <si>
    <t>Plott</t>
  </si>
  <si>
    <t>Pocket Beagle</t>
  </si>
  <si>
    <t>Pointer</t>
  </si>
  <si>
    <t>Polish Lowland Sheepdog</t>
  </si>
  <si>
    <t>Pomapoo</t>
  </si>
  <si>
    <t>Pomchi</t>
  </si>
  <si>
    <t>Pomeagle</t>
  </si>
  <si>
    <t>Pomeranian</t>
  </si>
  <si>
    <t>Pomsky</t>
  </si>
  <si>
    <t>Poochon</t>
  </si>
  <si>
    <t>Poodle</t>
  </si>
  <si>
    <t>Portuguese Podengo Pequeno</t>
  </si>
  <si>
    <t>Portuguese Water Dog</t>
  </si>
  <si>
    <t>Pug</t>
  </si>
  <si>
    <t>Pugalier</t>
  </si>
  <si>
    <t>Puggle</t>
  </si>
  <si>
    <t>Puginese</t>
  </si>
  <si>
    <t>Puli</t>
  </si>
  <si>
    <t>Pyredoodle</t>
  </si>
  <si>
    <t>Pyrenean Shepherd</t>
  </si>
  <si>
    <t>Rat Terrier</t>
  </si>
  <si>
    <t>Redbone Coonhound</t>
  </si>
  <si>
    <t>Rhodesian Ridgeback</t>
  </si>
  <si>
    <t>Rottador</t>
  </si>
  <si>
    <t>Rottle</t>
  </si>
  <si>
    <t>Rottweiler</t>
  </si>
  <si>
    <t>Saint Berdoodle</t>
  </si>
  <si>
    <t>Saint Bernard</t>
  </si>
  <si>
    <t>Saluki</t>
  </si>
  <si>
    <t>Samoyed</t>
  </si>
  <si>
    <t>Samusky</t>
  </si>
  <si>
    <t>Schipperke</t>
  </si>
  <si>
    <t>Schnoodle</t>
  </si>
  <si>
    <t>Scottish Deerhound</t>
  </si>
  <si>
    <t>Scottish Terrier</t>
  </si>
  <si>
    <t>Sealyham Terrier</t>
  </si>
  <si>
    <t>Sheepadoodle</t>
  </si>
  <si>
    <t>Shepsky</t>
  </si>
  <si>
    <t>Shetland Sheepdog</t>
  </si>
  <si>
    <t>Shiba Inu</t>
  </si>
  <si>
    <t>Shichon</t>
  </si>
  <si>
    <t>Shih-Poo</t>
  </si>
  <si>
    <t>Shih Tzu</t>
  </si>
  <si>
    <t>Shiloh Shepherd</t>
  </si>
  <si>
    <t>Shiranian</t>
  </si>
  <si>
    <t>Shollie</t>
  </si>
  <si>
    <t>Shorkie</t>
  </si>
  <si>
    <t>Siberian Husky</t>
  </si>
  <si>
    <t>Silken Windhound</t>
  </si>
  <si>
    <t>Silky Terrier</t>
  </si>
  <si>
    <t>Skye Terrier</t>
  </si>
  <si>
    <t>Sloughi</t>
  </si>
  <si>
    <t>Small Munsterlander Pointer</t>
  </si>
  <si>
    <t>Soft Coated Wheaten Terrier</t>
  </si>
  <si>
    <t>Spanish Mastiff</t>
  </si>
  <si>
    <t>Spinone Italiano</t>
  </si>
  <si>
    <t>Springador</t>
  </si>
  <si>
    <t>Stabyhoun</t>
  </si>
  <si>
    <t>Staffordshire Bull Terrier</t>
  </si>
  <si>
    <t>Standard Schnauzer</t>
  </si>
  <si>
    <t>Sussex Spaniel</t>
  </si>
  <si>
    <t>Swedish Vallhund</t>
  </si>
  <si>
    <t>Terripoo</t>
  </si>
  <si>
    <t>Texas Heeler</t>
  </si>
  <si>
    <t>Tibetan Mastiff</t>
  </si>
  <si>
    <t>Tibetan Spaniel</t>
  </si>
  <si>
    <t>Tibetan Terrier</t>
  </si>
  <si>
    <t>Toy Fox Terrier</t>
  </si>
  <si>
    <t>Treeing Tennessee Brindle</t>
  </si>
  <si>
    <t>Treeing Walker Coonhound</t>
  </si>
  <si>
    <t>Valley Bulldog</t>
  </si>
  <si>
    <t>Vizsla</t>
  </si>
  <si>
    <t>Weimaraner</t>
  </si>
  <si>
    <t>Welsh Springer Spaniel</t>
  </si>
  <si>
    <t>Welsh Terrier</t>
  </si>
  <si>
    <t>West Highland White Terrier</t>
  </si>
  <si>
    <t>Westiepoo</t>
  </si>
  <si>
    <t>Whippet</t>
  </si>
  <si>
    <t>Whoodle</t>
  </si>
  <si>
    <t>Wirehaired Pointing Griffon</t>
  </si>
  <si>
    <t>Xoloitzcuintli</t>
  </si>
  <si>
    <t>Yorkipoo</t>
  </si>
  <si>
    <t>Yorkshire Terrier</t>
  </si>
  <si>
    <t>Male</t>
  </si>
  <si>
    <t>Female</t>
  </si>
  <si>
    <t>Appointment Information</t>
  </si>
  <si>
    <t>DataTables for EnterInfo Sheet</t>
  </si>
  <si>
    <t>Less than 22lb.</t>
  </si>
  <si>
    <t>22lb. - 55lb.</t>
  </si>
  <si>
    <t>Over 55lb.</t>
  </si>
  <si>
    <t>Red</t>
  </si>
  <si>
    <t>Gold</t>
  </si>
  <si>
    <t>White</t>
  </si>
  <si>
    <t>Multi</t>
  </si>
  <si>
    <t>Black</t>
  </si>
  <si>
    <t>Brown</t>
  </si>
  <si>
    <t>Grey</t>
  </si>
  <si>
    <t>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</si>
  <si>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</si>
  <si>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</si>
  <si>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</si>
  <si>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</si>
  <si>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</si>
  <si>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</si>
  <si>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</si>
  <si>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</si>
  <si>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</si>
  <si>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</si>
  <si>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</si>
  <si>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</si>
  <si>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</si>
  <si>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Pet Information</t>
  </si>
  <si>
    <t>Zip</t>
  </si>
  <si>
    <t>Add-ons</t>
  </si>
  <si>
    <t>Appointment Details</t>
  </si>
  <si>
    <t>Groomer</t>
  </si>
  <si>
    <t>Shannon</t>
  </si>
  <si>
    <t>John</t>
  </si>
  <si>
    <t>Kenny</t>
  </si>
  <si>
    <t>Cami</t>
  </si>
  <si>
    <t>Tony</t>
  </si>
  <si>
    <t>Robby</t>
  </si>
  <si>
    <t>Natalie</t>
  </si>
  <si>
    <t>Payment</t>
  </si>
  <si>
    <t>Address Line 1</t>
  </si>
  <si>
    <t>Address Line 2</t>
  </si>
  <si>
    <t>Hair Length</t>
  </si>
  <si>
    <t>Short</t>
  </si>
  <si>
    <t>Medium</t>
  </si>
  <si>
    <t>Long</t>
  </si>
  <si>
    <t>8:00 - 10:00 AM</t>
  </si>
  <si>
    <t>10:00 - 12:00 PM</t>
  </si>
  <si>
    <t>12:00 - 2:00 PM</t>
  </si>
  <si>
    <t>2:00 - 4:00 PM</t>
  </si>
  <si>
    <t>4:00 - 6:00 PM</t>
  </si>
  <si>
    <t>6:00 - 8:00 PM</t>
  </si>
  <si>
    <t>8:00 - 10:00 PM</t>
  </si>
  <si>
    <t>Estimated Subtotal</t>
  </si>
  <si>
    <t>Groomer Tip (Optional)</t>
  </si>
  <si>
    <t>Seasonal Bandana</t>
  </si>
  <si>
    <t>Captcha Required</t>
  </si>
  <si>
    <t>Owner's Firstname</t>
  </si>
  <si>
    <t>Upgrades</t>
  </si>
  <si>
    <t>Language Preference</t>
  </si>
  <si>
    <t>Service Selection</t>
  </si>
  <si>
    <t>Client ID No.</t>
  </si>
  <si>
    <t>Date Entered</t>
  </si>
  <si>
    <t>Time Entered</t>
  </si>
  <si>
    <t>Birth Month</t>
  </si>
  <si>
    <t>Birth Year</t>
  </si>
  <si>
    <t>Owner Profile Information Database</t>
  </si>
  <si>
    <t>Pet Profile Information Database</t>
  </si>
  <si>
    <t>Zipcode</t>
  </si>
  <si>
    <t>Appointment Information Database</t>
  </si>
  <si>
    <t>Upgrade</t>
  </si>
  <si>
    <t>Flea Cleanse</t>
  </si>
  <si>
    <t>Ear Cleaning</t>
  </si>
  <si>
    <t>Teeth Cleaning</t>
  </si>
  <si>
    <t>Nail Trim &amp; Buffing</t>
  </si>
  <si>
    <t>Shed Release</t>
  </si>
  <si>
    <t>Service</t>
  </si>
  <si>
    <t>Services</t>
  </si>
  <si>
    <t>Bath Only</t>
  </si>
  <si>
    <t>Bath &amp; Haircut</t>
  </si>
  <si>
    <t>Bandana</t>
  </si>
  <si>
    <t>Yes</t>
  </si>
  <si>
    <t>No</t>
  </si>
  <si>
    <t>Estimated Total</t>
  </si>
  <si>
    <t>Spot</t>
  </si>
  <si>
    <t>State</t>
  </si>
  <si>
    <t>AL</t>
  </si>
  <si>
    <t>AK</t>
  </si>
  <si>
    <t>AZ</t>
  </si>
  <si>
    <t>AR</t>
  </si>
  <si>
    <t>CA</t>
  </si>
  <si>
    <t>CO</t>
  </si>
  <si>
    <t>CT</t>
  </si>
  <si>
    <t>DE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</si>
  <si>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</si>
  <si>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</si>
  <si>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</si>
  <si>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</si>
  <si>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</si>
  <si>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</si>
  <si>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</si>
  <si>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</si>
  <si>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</si>
  <si>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</si>
  <si>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</si>
  <si>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</si>
  <si>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</si>
  <si>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</si>
  <si>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</si>
  <si>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</si>
  <si>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</si>
  <si>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</si>
  <si>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</si>
  <si>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</si>
  <si>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</si>
  <si>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</si>
  <si>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</si>
  <si>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</si>
  <si>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</si>
  <si>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</si>
  <si>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</si>
  <si>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</si>
  <si>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</si>
  <si>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</si>
  <si>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</si>
  <si>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</si>
  <si>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</si>
  <si>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</si>
  <si>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</si>
  <si>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</si>
  <si>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</si>
  <si>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</si>
  <si>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</si>
  <si>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WV</t>
  </si>
  <si>
    <t>WI</t>
  </si>
  <si>
    <t>WY</t>
  </si>
  <si>
    <t>New York</t>
  </si>
  <si>
    <t>Holbrook</t>
  </si>
  <si>
    <t>Howard</t>
  </si>
  <si>
    <t>X</t>
  </si>
  <si>
    <t>Client ID #</t>
  </si>
  <si>
    <t>[</t>
  </si>
  <si>
    <t>Petgo Appointment Confirmation</t>
  </si>
  <si>
    <t>Daisy</t>
  </si>
  <si>
    <t>khoward184@aol.com</t>
  </si>
  <si>
    <t>1 Rolling Ball Blvd</t>
  </si>
  <si>
    <t>Apt.56A</t>
  </si>
  <si>
    <t>No Upgrades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</si>
</sst>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&quot;$&quot;#,##0.00_);\(&quot;$&quot;#,##0.00\)"/>
    <numFmt numFmtId="164" formatCode="[$-F800]dddd\,\ mmmm\ dd\,\ yyyy"/>
    <numFmt numFmtId="165" formatCode="[&lt;=9999999]###\-####;\(###\)\ ###\-####"/>
    <numFmt numFmtId="166" formatCode="[$-409]h:mm\ AM/PM;@"/>
    <numFmt numFmtId="167" formatCode="00000"/>
    <numFmt numFmtId="168" formatCode="&quot;$&quot;#,##0.00"/>
    <numFmt numFmtId="169" formatCode="[$-F400]h:mm:ss\ AM/PM"/>
  </numFmts>
  <fonts count="2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rial Nova"/>
      <family val="2"/>
    </font>
    <font>
      <sz val="11"/>
      <color theme="1"/>
      <name val="Arial Nova"/>
      <family val="2"/>
    </font>
    <font>
      <sz val="10"/>
      <name val="Arial Nova"/>
      <family val="2"/>
    </font>
    <font>
      <b/>
      <sz val="11"/>
      <color theme="1"/>
      <name val="Arial Nova"/>
      <family val="2"/>
    </font>
    <font>
      <sz val="11"/>
      <color rgb="FFC00000"/>
      <name val="Arial Nova"/>
      <family val="2"/>
    </font>
    <font>
      <sz val="9"/>
      <name val="Arial Nova"/>
      <family val="2"/>
    </font>
    <font>
      <sz val="10"/>
      <color theme="1"/>
      <name val="Arial Nova"/>
      <family val="2"/>
    </font>
    <font>
      <sz val="9"/>
      <color theme="1"/>
      <name val="Arial Nova"/>
      <family val="2"/>
    </font>
    <font>
      <b/>
      <sz val="9"/>
      <name val="Arial Nova"/>
      <family val="2"/>
    </font>
    <font>
      <u/>
      <sz val="11"/>
      <color theme="10"/>
      <name val="Calibri"/>
      <family val="2"/>
      <scheme val="minor"/>
    </font>
    <font>
      <sz val="11"/>
      <name val="Arial Nova"/>
      <family val="2"/>
    </font>
    <font>
      <b/>
      <sz val="11"/>
      <name val="Arial Nova"/>
      <family val="2"/>
    </font>
    <font>
      <sz val="11"/>
      <color rgb="FF000000"/>
      <name val="Calibri"/>
      <family val="2"/>
    </font>
    <font>
      <sz val="9"/>
      <color rgb="FF222222"/>
      <name val="Calibri-regular"/>
    </font>
    <font>
      <b/>
      <sz val="14"/>
      <color theme="1"/>
      <name val="Arial Nova"/>
      <family val="2"/>
    </font>
    <font>
      <sz val="12"/>
      <color theme="1"/>
      <name val="Arial Nova"/>
      <family val="2"/>
    </font>
    <font>
      <b/>
      <sz val="12"/>
      <name val="Arial Nova"/>
      <family val="2"/>
    </font>
    <font>
      <b/>
      <sz val="12"/>
      <color theme="4"/>
      <name val="Arial Nova"/>
      <family val="2"/>
    </font>
    <font>
      <sz val="11"/>
      <color theme="9" tint="0.59999389629810485"/>
      <name val="Arial Nova"/>
      <family val="2"/>
    </font>
    <font>
      <sz val="11"/>
      <color theme="0"/>
      <name val="Arial Nova"/>
      <family val="2"/>
    </font>
    <font>
      <sz val="8"/>
      <color rgb="FF000000"/>
      <name val="Segoe UI"/>
      <charset val="1"/>
    </font>
  </fonts>
  <fills count="1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0"/>
      </patternFill>
    </fill>
    <fill>
      <patternFill patternType="solid">
        <fgColor theme="2" tint="-9.9978637043366805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10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164" fontId="0" fillId="0" borderId="0" xfId="0" applyNumberFormat="1"/>
    <xf numFmtId="18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/>
    <xf numFmtId="14" fontId="0" fillId="0" borderId="0" xfId="0" applyNumberForma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right"/>
    </xf>
    <xf numFmtId="0" fontId="1" fillId="2" borderId="0" xfId="0" applyFont="1" applyFill="1" applyAlignment="1">
      <alignment horizontal="center"/>
    </xf>
    <xf numFmtId="1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165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166" fontId="14" fillId="2" borderId="0" xfId="0" applyNumberFormat="1" applyFont="1" applyFill="1" applyAlignment="1">
      <alignment horizontal="center" vertical="center"/>
    </xf>
    <xf numFmtId="165" fontId="14" fillId="2" borderId="0" xfId="0" applyNumberFormat="1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2" fillId="3" borderId="1" xfId="1" applyNumberFormat="1" applyFill="1" applyBorder="1" applyAlignment="1">
      <alignment horizontal="center" vertical="center"/>
    </xf>
    <xf numFmtId="0" fontId="16" fillId="0" borderId="0" xfId="0" applyFont="1"/>
    <xf numFmtId="0" fontId="4" fillId="0" borderId="0" xfId="0" applyFont="1" applyAlignment="1">
      <alignment horizontal="center"/>
    </xf>
    <xf numFmtId="0" fontId="4" fillId="4" borderId="0" xfId="0" applyFont="1" applyFill="1"/>
    <xf numFmtId="0" fontId="5" fillId="5" borderId="0" xfId="0" applyFont="1" applyFill="1" applyAlignment="1">
      <alignment horizontal="right"/>
    </xf>
    <xf numFmtId="0" fontId="4" fillId="5" borderId="0" xfId="0" applyFont="1" applyFill="1" applyAlignment="1">
      <alignment horizontal="center" vertical="center"/>
    </xf>
    <xf numFmtId="0" fontId="4" fillId="5" borderId="0" xfId="0" applyFont="1" applyFill="1"/>
    <xf numFmtId="0" fontId="3" fillId="5" borderId="0" xfId="0" applyFont="1" applyFill="1" applyAlignment="1">
      <alignment horizontal="center"/>
    </xf>
    <xf numFmtId="0" fontId="6" fillId="5" borderId="0" xfId="0" applyFont="1" applyFill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7" fillId="4" borderId="0" xfId="0" applyFont="1" applyFill="1"/>
    <xf numFmtId="0" fontId="7" fillId="5" borderId="0" xfId="0" applyFont="1" applyFill="1"/>
    <xf numFmtId="0" fontId="5" fillId="5" borderId="0" xfId="0" applyFont="1" applyFill="1" applyAlignment="1">
      <alignment horizontal="center"/>
    </xf>
    <xf numFmtId="0" fontId="5" fillId="5" borderId="0" xfId="0" applyFont="1" applyFill="1" applyAlignment="1">
      <alignment horizontal="center" vertical="center"/>
    </xf>
    <xf numFmtId="0" fontId="13" fillId="5" borderId="0" xfId="0" applyFont="1" applyFill="1" applyAlignment="1">
      <alignment horizontal="center"/>
    </xf>
    <xf numFmtId="0" fontId="8" fillId="5" borderId="0" xfId="0" applyFont="1" applyFill="1" applyAlignment="1">
      <alignment horizontal="right"/>
    </xf>
    <xf numFmtId="0" fontId="10" fillId="5" borderId="0" xfId="0" applyFont="1" applyFill="1"/>
    <xf numFmtId="167" fontId="10" fillId="5" borderId="0" xfId="0" applyNumberFormat="1" applyFont="1" applyFill="1" applyAlignment="1">
      <alignment horizontal="center" vertical="center"/>
    </xf>
    <xf numFmtId="0" fontId="3" fillId="4" borderId="0" xfId="0" applyFont="1" applyFill="1" applyAlignment="1">
      <alignment horizontal="center"/>
    </xf>
    <xf numFmtId="0" fontId="8" fillId="4" borderId="0" xfId="0" applyFont="1" applyFill="1" applyAlignment="1">
      <alignment horizontal="left"/>
    </xf>
    <xf numFmtId="0" fontId="8" fillId="4" borderId="0" xfId="0" applyFont="1" applyFill="1" applyAlignment="1">
      <alignment horizontal="right"/>
    </xf>
    <xf numFmtId="0" fontId="11" fillId="4" borderId="0" xfId="0" applyFont="1" applyFill="1" applyAlignment="1">
      <alignment horizontal="right"/>
    </xf>
    <xf numFmtId="0" fontId="6" fillId="4" borderId="0" xfId="0" applyFont="1" applyFill="1"/>
    <xf numFmtId="0" fontId="5" fillId="4" borderId="0" xfId="0" applyFont="1" applyFill="1" applyAlignment="1">
      <alignment horizontal="right"/>
    </xf>
    <xf numFmtId="0" fontId="8" fillId="4" borderId="0" xfId="0" applyFont="1" applyFill="1"/>
    <xf numFmtId="0" fontId="9" fillId="7" borderId="1" xfId="0" applyFont="1" applyFill="1" applyBorder="1" applyAlignment="1">
      <alignment horizontal="center" vertical="center"/>
    </xf>
    <xf numFmtId="168" fontId="4" fillId="7" borderId="1" xfId="0" applyNumberFormat="1" applyFont="1" applyFill="1" applyBorder="1"/>
    <xf numFmtId="0" fontId="4" fillId="3" borderId="1" xfId="0" applyFont="1" applyFill="1" applyBorder="1" applyAlignment="1">
      <alignment horizontal="center" vertical="center"/>
    </xf>
    <xf numFmtId="165" fontId="4" fillId="3" borderId="1" xfId="0" applyNumberFormat="1" applyFont="1" applyFill="1" applyBorder="1" applyAlignment="1">
      <alignment horizontal="center" vertical="center"/>
    </xf>
    <xf numFmtId="0" fontId="13" fillId="5" borderId="0" xfId="0" applyFont="1" applyFill="1" applyAlignment="1">
      <alignment horizontal="right"/>
    </xf>
    <xf numFmtId="0" fontId="14" fillId="5" borderId="0" xfId="0" applyFont="1" applyFill="1" applyAlignment="1">
      <alignment horizontal="right"/>
    </xf>
    <xf numFmtId="0" fontId="4" fillId="3" borderId="1" xfId="0" applyFont="1" applyFill="1" applyBorder="1" applyAlignment="1">
      <alignment horizontal="center"/>
    </xf>
    <xf numFmtId="0" fontId="13" fillId="3" borderId="1" xfId="0" applyFont="1" applyFill="1" applyBorder="1" applyAlignment="1">
      <alignment horizontal="center" vertical="center"/>
    </xf>
    <xf numFmtId="164" fontId="13" fillId="3" borderId="1" xfId="0" applyNumberFormat="1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/>
    </xf>
    <xf numFmtId="166" fontId="4" fillId="4" borderId="0" xfId="0" applyNumberFormat="1" applyFont="1" applyFill="1" applyAlignment="1">
      <alignment horizontal="center" vertical="center"/>
    </xf>
    <xf numFmtId="0" fontId="18" fillId="4" borderId="0" xfId="0" applyFont="1" applyFill="1" applyAlignment="1">
      <alignment horizontal="center"/>
    </xf>
    <xf numFmtId="164" fontId="18" fillId="4" borderId="0" xfId="0" applyNumberFormat="1" applyFont="1" applyFill="1" applyAlignment="1">
      <alignment horizontal="center"/>
    </xf>
    <xf numFmtId="0" fontId="3" fillId="6" borderId="0" xfId="0" applyFont="1" applyFill="1" applyAlignment="1">
      <alignment horizontal="right" vertical="center"/>
    </xf>
    <xf numFmtId="0" fontId="19" fillId="6" borderId="0" xfId="0" applyFont="1" applyFill="1" applyAlignment="1">
      <alignment horizontal="right" vertical="center"/>
    </xf>
    <xf numFmtId="166" fontId="19" fillId="6" borderId="0" xfId="0" applyNumberFormat="1" applyFont="1" applyFill="1" applyAlignment="1">
      <alignment horizontal="right" vertical="center"/>
    </xf>
    <xf numFmtId="165" fontId="19" fillId="6" borderId="0" xfId="0" applyNumberFormat="1" applyFont="1" applyFill="1" applyAlignment="1">
      <alignment horizontal="right" vertical="center"/>
    </xf>
    <xf numFmtId="1" fontId="3" fillId="4" borderId="0" xfId="0" applyNumberFormat="1" applyFont="1" applyFill="1" applyAlignment="1">
      <alignment horizontal="left" vertical="center"/>
    </xf>
    <xf numFmtId="168" fontId="4" fillId="7" borderId="2" xfId="0" applyNumberFormat="1" applyFont="1" applyFill="1" applyBorder="1"/>
    <xf numFmtId="1" fontId="4" fillId="3" borderId="1" xfId="0" applyNumberFormat="1" applyFont="1" applyFill="1" applyBorder="1" applyAlignment="1">
      <alignment horizontal="center" vertical="center"/>
    </xf>
    <xf numFmtId="1" fontId="14" fillId="2" borderId="0" xfId="0" applyNumberFormat="1" applyFont="1" applyFill="1" applyAlignment="1">
      <alignment horizontal="center" vertical="center"/>
    </xf>
    <xf numFmtId="168" fontId="3" fillId="4" borderId="0" xfId="0" applyNumberFormat="1" applyFont="1" applyFill="1" applyAlignment="1">
      <alignment horizontal="center"/>
    </xf>
    <xf numFmtId="164" fontId="6" fillId="0" borderId="0" xfId="0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1" fontId="6" fillId="0" borderId="0" xfId="0" applyNumberFormat="1" applyFont="1"/>
    <xf numFmtId="0" fontId="6" fillId="0" borderId="0" xfId="0" applyFont="1"/>
    <xf numFmtId="1" fontId="3" fillId="4" borderId="0" xfId="0" applyNumberFormat="1" applyFont="1" applyFill="1" applyAlignment="1">
      <alignment horizontal="center"/>
    </xf>
    <xf numFmtId="0" fontId="4" fillId="10" borderId="0" xfId="0" applyFont="1" applyFill="1"/>
    <xf numFmtId="0" fontId="4" fillId="10" borderId="0" xfId="0" applyFont="1" applyFill="1" applyAlignment="1">
      <alignment horizontal="center"/>
    </xf>
    <xf numFmtId="7" fontId="18" fillId="4" borderId="0" xfId="0" applyNumberFormat="1" applyFont="1" applyFill="1" applyAlignment="1">
      <alignment horizontal="center"/>
    </xf>
    <xf numFmtId="169" fontId="13" fillId="3" borderId="1" xfId="0" applyNumberFormat="1" applyFont="1" applyFill="1" applyBorder="1" applyAlignment="1">
      <alignment horizontal="center" vertical="center"/>
    </xf>
    <xf numFmtId="0" fontId="20" fillId="4" borderId="0" xfId="0" applyFont="1" applyFill="1" applyAlignment="1">
      <alignment horizontal="center"/>
    </xf>
    <xf numFmtId="164" fontId="21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64" fontId="14" fillId="0" borderId="0" xfId="0" applyNumberFormat="1" applyFont="1" applyAlignment="1">
      <alignment horizontal="center" vertical="center"/>
    </xf>
    <xf numFmtId="169" fontId="14" fillId="0" borderId="0" xfId="0" applyNumberFormat="1" applyFont="1" applyAlignment="1">
      <alignment horizontal="center" vertical="center"/>
    </xf>
    <xf numFmtId="0" fontId="14" fillId="0" borderId="0" xfId="0" applyFont="1"/>
    <xf numFmtId="164" fontId="20" fillId="4" borderId="0" xfId="0" applyNumberFormat="1" applyFont="1" applyFill="1" applyAlignment="1">
      <alignment horizontal="center"/>
    </xf>
    <xf numFmtId="7" fontId="4" fillId="0" borderId="0" xfId="0" applyNumberFormat="1" applyFont="1"/>
    <xf numFmtId="14" fontId="4" fillId="0" borderId="0" xfId="0" applyNumberFormat="1" applyFont="1"/>
    <xf numFmtId="0" fontId="6" fillId="5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3" fillId="5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9" fillId="7" borderId="3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3" fillId="4" borderId="0" xfId="0" applyFont="1" applyFill="1" applyAlignment="1">
      <alignment horizontal="left" vertical="center"/>
    </xf>
    <xf numFmtId="1" fontId="6" fillId="4" borderId="0" xfId="0" applyNumberFormat="1" applyFont="1" applyFill="1" applyAlignment="1">
      <alignment horizontal="left" vertical="center"/>
    </xf>
    <xf numFmtId="0" fontId="17" fillId="10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/>
    </xf>
    <xf numFmtId="0" fontId="1" fillId="10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40">
    <dxf>
      <numFmt numFmtId="164" formatCode="[$-F800]dddd\,\ mmmm\ dd\,\ yyyy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222"/>
        <name val="Calibri-regular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222"/>
        <name val="Calibri-regular"/>
        <scheme val="none"/>
      </font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170" formatCode="m/d/yyyy"/>
      <alignment horizontal="center" textRotation="0" wrapText="0" indent="0" justifyLastLine="0" shrinkToFit="0" readingOrder="0"/>
    </dxf>
    <dxf>
      <numFmt numFmtId="170" formatCode="m/d/yyyy"/>
      <alignment horizontal="center" textRotation="0" wrapText="0" indent="0" justifyLastLine="0" shrinkToFit="0" readingOrder="0"/>
    </dxf>
    <dxf>
      <numFmt numFmtId="170" formatCode="m/d/yyyy"/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3" formatCode="h:mm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theme="9" tint="0.59996337778862885"/>
      </font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fmlaLink="E33" lockText="1"/>
</file>

<file path=xl/ctrlProps/ctrlProp2.xml><?xml version="1.0" encoding="utf-8"?>
<formControlPr xmlns="http://schemas.microsoft.com/office/spreadsheetml/2009/9/main" objectType="CheckBox" checked="Checked" fmlaLink="E34" lockText="1"/>
</file>

<file path=xl/ctrlProps/ctrlProp3.xml><?xml version="1.0" encoding="utf-8"?>
<formControlPr xmlns="http://schemas.microsoft.com/office/spreadsheetml/2009/9/main" objectType="CheckBox" fmlaLink="F34" lockText="1"/>
</file>

<file path=xl/ctrlProps/ctrlProp4.xml><?xml version="1.0" encoding="utf-8"?>
<formControlPr xmlns="http://schemas.microsoft.com/office/spreadsheetml/2009/9/main" objectType="CheckBox" fmlaLink="E35" lockText="1"/>
</file>

<file path=xl/ctrlProps/ctrlProp5.xml><?xml version="1.0" encoding="utf-8"?>
<formControlPr xmlns="http://schemas.microsoft.com/office/spreadsheetml/2009/9/main" objectType="CheckBox" checked="Checked" fmlaLink="F33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Radio" firstButton="1" fmlaLink="B37" lockText="1"/>
</file>

<file path=xl/ctrlProps/ctrlProp13.xml><?xml version="1.0" encoding="utf-8"?>
<formControlPr xmlns="http://schemas.microsoft.com/office/spreadsheetml/2009/9/main" objectType="Radio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Radio" lockText="1"/>
</file>

<file path=xl/ctrlProps/ctrlProp16.xml><?xml version="1.0" encoding="utf-8"?>
<formControlPr xmlns="http://schemas.microsoft.com/office/spreadsheetml/2009/9/main" objectType="Radio" lockText="1"/>
</file>

<file path=xl/ctrlProps/ctrlProp17.xml><?xml version="1.0" encoding="utf-8"?>
<formControlPr xmlns="http://schemas.microsoft.com/office/spreadsheetml/2009/9/main" objectType="Radio" lockText="1"/>
</file>

<file path=xl/ctrlProps/ctrlProp18.xml><?xml version="1.0" encoding="utf-8"?>
<formControlPr xmlns="http://schemas.microsoft.com/office/spreadsheetml/2009/9/main" objectType="Radio" checked="Checked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1870275</xdr:colOff>
          <xdr:row>33</xdr:row>
          <xdr:rowOff>31825</xdr:rowOff>
        </xdr:from>
        <xdr:to>
          <xdr:col>5</xdr:col>
          <xdr:colOff>2115445</xdr:colOff>
          <xdr:row>37</xdr:row>
          <xdr:rowOff>167245</xdr:rowOff>
        </xdr:to>
        <xdr:grpSp>
          <xdr:nvGrpSpPr>
            <xdr:cNvPr id="8" name="Group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pSpPr>
              <a:grpSpLocks/>
            </xdr:cNvGrpSpPr>
          </xdr:nvGrpSpPr>
          <xdr:grpSpPr>
            <a:xfrm>
              <a:off x="3775275" y="4328658"/>
              <a:ext cx="3631837" cy="749254"/>
              <a:chOff x="3374874" y="2819390"/>
              <a:chExt cx="1439806" cy="604733"/>
            </a:xfrm>
            <a:solidFill>
              <a:schemeClr val="accent6">
                <a:lumMod val="20000"/>
                <a:lumOff val="80000"/>
              </a:schemeClr>
            </a:solidFill>
          </xdr:grpSpPr>
          <xdr:grpSp>
            <xdr:nvGrpSpPr>
              <xdr:cNvPr id="9" name="Group 8">
                <a:extLst>
                  <a:ext uri="{FF2B5EF4-FFF2-40B4-BE49-F238E27FC236}">
                    <a16:creationId xmlns:a16="http://schemas.microsoft.com/office/drawing/2014/main" id="{00000000-0008-0000-0000-000009000000}"/>
                  </a:ext>
                </a:extLst>
              </xdr:cNvPr>
              <xdr:cNvGrpSpPr/>
            </xdr:nvGrpSpPr>
            <xdr:grpSpPr>
              <a:xfrm>
                <a:off x="3374874" y="2819390"/>
                <a:ext cx="1439806" cy="434380"/>
                <a:chOff x="3368524" y="3133288"/>
                <a:chExt cx="1439806" cy="930825"/>
              </a:xfrm>
              <a:grpFill/>
            </xdr:grpSpPr>
            <xdr:sp macro="" textlink="">
              <xdr:nvSpPr>
                <xdr:cNvPr id="1060" name="SelectEarCleaning" hidden="1">
                  <a:extLst>
                    <a:ext uri="{63B3BB69-23CF-44E3-9099-C40C66FF867C}">
                      <a14:compatExt spid="_x0000_s1060"/>
                    </a:ext>
                    <a:ext uri="{FF2B5EF4-FFF2-40B4-BE49-F238E27FC236}">
                      <a16:creationId xmlns:a16="http://schemas.microsoft.com/office/drawing/2014/main" id="{00000000-0008-0000-0000-000024040000}"/>
                    </a:ext>
                  </a:extLst>
                </xdr:cNvPr>
                <xdr:cNvSpPr/>
              </xdr:nvSpPr>
              <xdr:spPr bwMode="auto">
                <a:xfrm>
                  <a:off x="3368524" y="3133288"/>
                  <a:ext cx="701510" cy="475136"/>
                </a:xfrm>
                <a:prstGeom prst="rect">
                  <a:avLst/>
                </a:prstGeom>
                <a:solidFill>
                  <a:srgbClr val="E2EFDA"/>
                </a:solidFill>
                <a:ln>
                  <a:noFill/>
                </a:ln>
                <a:extLst>
                  <a:ext uri="{91240B29-F687-4F45-9708-019B960494DF}">
                    <a14:hiddenLine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18288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en-US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Ear Cleaning</a:t>
                  </a:r>
                </a:p>
              </xdr:txBody>
            </xdr:sp>
            <xdr:sp macro="" textlink="">
              <xdr:nvSpPr>
                <xdr:cNvPr id="1061" name="SelectTeethCleaning" hidden="1">
                  <a:extLst>
                    <a:ext uri="{63B3BB69-23CF-44E3-9099-C40C66FF867C}">
                      <a14:compatExt spid="_x0000_s1061"/>
                    </a:ext>
                    <a:ext uri="{FF2B5EF4-FFF2-40B4-BE49-F238E27FC236}">
                      <a16:creationId xmlns:a16="http://schemas.microsoft.com/office/drawing/2014/main" id="{00000000-0008-0000-0000-000025040000}"/>
                    </a:ext>
                  </a:extLst>
                </xdr:cNvPr>
                <xdr:cNvSpPr/>
              </xdr:nvSpPr>
              <xdr:spPr bwMode="auto">
                <a:xfrm>
                  <a:off x="3368524" y="3548457"/>
                  <a:ext cx="701510" cy="515656"/>
                </a:xfrm>
                <a:prstGeom prst="rect">
                  <a:avLst/>
                </a:prstGeom>
                <a:solidFill>
                  <a:srgbClr val="E2EFDA"/>
                </a:solidFill>
                <a:ln>
                  <a:noFill/>
                </a:ln>
                <a:extLst>
                  <a:ext uri="{91240B29-F687-4F45-9708-019B960494DF}">
                    <a14:hiddenLine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18288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en-US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Teeth Cleaning</a:t>
                  </a:r>
                </a:p>
              </xdr:txBody>
            </xdr:sp>
            <xdr:sp macro="" textlink="">
              <xdr:nvSpPr>
                <xdr:cNvPr id="1062" name="SelectFleaCleanse" hidden="1">
                  <a:extLst>
                    <a:ext uri="{63B3BB69-23CF-44E3-9099-C40C66FF867C}">
                      <a14:compatExt spid="_x0000_s1062"/>
                    </a:ext>
                    <a:ext uri="{FF2B5EF4-FFF2-40B4-BE49-F238E27FC236}">
                      <a16:creationId xmlns:a16="http://schemas.microsoft.com/office/drawing/2014/main" id="{00000000-0008-0000-0000-000026040000}"/>
                    </a:ext>
                  </a:extLst>
                </xdr:cNvPr>
                <xdr:cNvSpPr/>
              </xdr:nvSpPr>
              <xdr:spPr bwMode="auto">
                <a:xfrm>
                  <a:off x="4044943" y="3595918"/>
                  <a:ext cx="763387" cy="325336"/>
                </a:xfrm>
                <a:prstGeom prst="rect">
                  <a:avLst/>
                </a:prstGeom>
                <a:solidFill>
                  <a:srgbClr val="E2EFDA"/>
                </a:solidFill>
                <a:ln>
                  <a:noFill/>
                </a:ln>
                <a:extLst>
                  <a:ext uri="{91240B29-F687-4F45-9708-019B960494DF}">
                    <a14:hiddenLine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18288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en-US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Flea Cleanse</a:t>
                  </a:r>
                </a:p>
              </xdr:txBody>
            </xdr:sp>
          </xdr:grpSp>
          <xdr:sp macro="" textlink="">
            <xdr:nvSpPr>
              <xdr:cNvPr id="1063" name="SelectNailTrimBuff" hidden="1">
                <a:extLst>
                  <a:ext uri="{63B3BB69-23CF-44E3-9099-C40C66FF867C}">
                    <a14:compatExt spid="_x0000_s1063"/>
                  </a:ext>
                  <a:ext uri="{FF2B5EF4-FFF2-40B4-BE49-F238E27FC236}">
                    <a16:creationId xmlns:a16="http://schemas.microsoft.com/office/drawing/2014/main" id="{00000000-0008-0000-0000-000027040000}"/>
                  </a:ext>
                </a:extLst>
              </xdr:cNvPr>
              <xdr:cNvSpPr/>
            </xdr:nvSpPr>
            <xdr:spPr bwMode="auto">
              <a:xfrm>
                <a:off x="3374874" y="3252672"/>
                <a:ext cx="701510" cy="171451"/>
              </a:xfrm>
              <a:prstGeom prst="rect">
                <a:avLst/>
              </a:prstGeom>
              <a:solidFill>
                <a:srgbClr val="E2EFDA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Nail Trim &amp; Buffing</a:t>
                </a:r>
              </a:p>
            </xdr:txBody>
          </xdr:sp>
          <xdr:sp macro="" textlink="">
            <xdr:nvSpPr>
              <xdr:cNvPr id="1064" name="SelectShedRelease" hidden="1">
                <a:extLst>
                  <a:ext uri="{63B3BB69-23CF-44E3-9099-C40C66FF867C}">
                    <a14:compatExt spid="_x0000_s1064"/>
                  </a:ext>
                  <a:ext uri="{FF2B5EF4-FFF2-40B4-BE49-F238E27FC236}">
                    <a16:creationId xmlns:a16="http://schemas.microsoft.com/office/drawing/2014/main" id="{00000000-0008-0000-0000-000028040000}"/>
                  </a:ext>
                </a:extLst>
              </xdr:cNvPr>
              <xdr:cNvSpPr/>
            </xdr:nvSpPr>
            <xdr:spPr bwMode="auto">
              <a:xfrm>
                <a:off x="4051293" y="2825750"/>
                <a:ext cx="763387" cy="228822"/>
              </a:xfrm>
              <a:prstGeom prst="rect">
                <a:avLst/>
              </a:prstGeom>
              <a:solidFill>
                <a:srgbClr val="E2EFDA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Shed Release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49</xdr:row>
          <xdr:rowOff>0</xdr:rowOff>
        </xdr:from>
        <xdr:to>
          <xdr:col>5</xdr:col>
          <xdr:colOff>0</xdr:colOff>
          <xdr:row>50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NOT A ROBOT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53</xdr:row>
          <xdr:rowOff>127000</xdr:rowOff>
        </xdr:from>
        <xdr:to>
          <xdr:col>5</xdr:col>
          <xdr:colOff>25400</xdr:colOff>
          <xdr:row>54</xdr:row>
          <xdr:rowOff>127000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Print Receipt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53</xdr:row>
          <xdr:rowOff>127000</xdr:rowOff>
        </xdr:from>
        <xdr:to>
          <xdr:col>3</xdr:col>
          <xdr:colOff>25400</xdr:colOff>
          <xdr:row>54</xdr:row>
          <xdr:rowOff>127000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Email Receipt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52</xdr:row>
          <xdr:rowOff>63500</xdr:rowOff>
        </xdr:from>
        <xdr:to>
          <xdr:col>5</xdr:col>
          <xdr:colOff>25400</xdr:colOff>
          <xdr:row>53</xdr:row>
          <xdr:rowOff>38100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Book Appointment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27</xdr:row>
          <xdr:rowOff>165100</xdr:rowOff>
        </xdr:from>
        <xdr:to>
          <xdr:col>5</xdr:col>
          <xdr:colOff>127000</xdr:colOff>
          <xdr:row>28</xdr:row>
          <xdr:rowOff>165100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Profile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39</xdr:row>
          <xdr:rowOff>25400</xdr:rowOff>
        </xdr:from>
        <xdr:to>
          <xdr:col>5</xdr:col>
          <xdr:colOff>0</xdr:colOff>
          <xdr:row>40</xdr:row>
          <xdr:rowOff>25400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158750</xdr:colOff>
          <xdr:row>4</xdr:row>
          <xdr:rowOff>82550</xdr:rowOff>
        </xdr:from>
        <xdr:to>
          <xdr:col>5</xdr:col>
          <xdr:colOff>158750</xdr:colOff>
          <xdr:row>5</xdr:row>
          <xdr:rowOff>184150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pSpPr/>
          </xdr:nvGrpSpPr>
          <xdr:grpSpPr>
            <a:xfrm>
              <a:off x="2063750" y="359833"/>
              <a:ext cx="3386667" cy="0"/>
              <a:chOff x="1400629" y="0"/>
              <a:chExt cx="1909983" cy="0"/>
            </a:xfrm>
            <a:solidFill>
              <a:schemeClr val="bg1"/>
            </a:solidFill>
          </xdr:grpSpPr>
          <xdr:sp macro="" textlink="">
            <xdr:nvSpPr>
              <xdr:cNvPr id="1108" name="Option Button 84" hidden="1">
                <a:extLst>
                  <a:ext uri="{63B3BB69-23CF-44E3-9099-C40C66FF867C}">
                    <a14:compatExt spid="_x0000_s1108"/>
                  </a:ext>
                  <a:ext uri="{FF2B5EF4-FFF2-40B4-BE49-F238E27FC236}">
                    <a16:creationId xmlns:a16="http://schemas.microsoft.com/office/drawing/2014/main" id="{00000000-0008-0000-0000-000054040000}"/>
                  </a:ext>
                </a:extLst>
              </xdr:cNvPr>
              <xdr:cNvSpPr/>
            </xdr:nvSpPr>
            <xdr:spPr bwMode="auto">
              <a:xfrm>
                <a:off x="2151283" y="0"/>
                <a:ext cx="1159329" cy="0"/>
              </a:xfrm>
              <a:prstGeom prst="rect">
                <a:avLst/>
              </a:prstGeom>
              <a:solidFill>
                <a:srgbClr val="FFFFFF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English</a:t>
                </a:r>
              </a:p>
            </xdr:txBody>
          </xdr:sp>
          <xdr:sp macro="" textlink="">
            <xdr:nvSpPr>
              <xdr:cNvPr id="1109" name="Option Button 85" hidden="1">
                <a:extLst>
                  <a:ext uri="{63B3BB69-23CF-44E3-9099-C40C66FF867C}">
                    <a14:compatExt spid="_x0000_s1109"/>
                  </a:ext>
                  <a:ext uri="{FF2B5EF4-FFF2-40B4-BE49-F238E27FC236}">
                    <a16:creationId xmlns:a16="http://schemas.microsoft.com/office/drawing/2014/main" id="{00000000-0008-0000-0000-000055040000}"/>
                  </a:ext>
                </a:extLst>
              </xdr:cNvPr>
              <xdr:cNvSpPr/>
            </xdr:nvSpPr>
            <xdr:spPr bwMode="auto">
              <a:xfrm>
                <a:off x="1400629" y="0"/>
                <a:ext cx="1094921" cy="0"/>
              </a:xfrm>
              <a:prstGeom prst="rect">
                <a:avLst/>
              </a:prstGeom>
              <a:solidFill>
                <a:srgbClr val="FFFFFF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Spanish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127000</xdr:colOff>
          <xdr:row>8</xdr:row>
          <xdr:rowOff>88900</xdr:rowOff>
        </xdr:from>
        <xdr:to>
          <xdr:col>5</xdr:col>
          <xdr:colOff>1739900</xdr:colOff>
          <xdr:row>9</xdr:row>
          <xdr:rowOff>177800</xdr:rowOff>
        </xdr:to>
        <xdr:sp macro="" textlink="">
          <xdr:nvSpPr>
            <xdr:cNvPr id="1147" name="Get_Profile_Information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Profile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94018</xdr:colOff>
          <xdr:row>35</xdr:row>
          <xdr:rowOff>62753</xdr:rowOff>
        </xdr:from>
        <xdr:to>
          <xdr:col>3</xdr:col>
          <xdr:colOff>42817</xdr:colOff>
          <xdr:row>38</xdr:row>
          <xdr:rowOff>92411</xdr:rowOff>
        </xdr:to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pSpPr/>
          </xdr:nvGrpSpPr>
          <xdr:grpSpPr>
            <a:xfrm>
              <a:off x="369185" y="4719420"/>
              <a:ext cx="3462465" cy="452991"/>
              <a:chOff x="459583" y="5610597"/>
              <a:chExt cx="3153565" cy="475643"/>
            </a:xfrm>
            <a:solidFill>
              <a:schemeClr val="accent6">
                <a:lumMod val="20000"/>
                <a:lumOff val="80000"/>
              </a:schemeClr>
            </a:solidFill>
          </xdr:grpSpPr>
          <xdr:sp macro="" textlink="">
            <xdr:nvSpPr>
              <xdr:cNvPr id="1151" name="Option Button 127" hidden="1">
                <a:extLst>
                  <a:ext uri="{63B3BB69-23CF-44E3-9099-C40C66FF867C}">
                    <a14:compatExt spid="_x0000_s1151"/>
                  </a:ext>
                  <a:ext uri="{FF2B5EF4-FFF2-40B4-BE49-F238E27FC236}">
                    <a16:creationId xmlns:a16="http://schemas.microsoft.com/office/drawing/2014/main" id="{00000000-0008-0000-0000-00007F040000}"/>
                  </a:ext>
                </a:extLst>
              </xdr:cNvPr>
              <xdr:cNvSpPr/>
            </xdr:nvSpPr>
            <xdr:spPr bwMode="auto">
              <a:xfrm>
                <a:off x="459583" y="5628480"/>
                <a:ext cx="1475581" cy="223045"/>
              </a:xfrm>
              <a:prstGeom prst="rect">
                <a:avLst/>
              </a:prstGeom>
              <a:solidFill>
                <a:srgbClr val="E2EFDA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Holiday Package</a:t>
                </a:r>
              </a:p>
            </xdr:txBody>
          </xdr:sp>
          <xdr:sp macro="" textlink="">
            <xdr:nvSpPr>
              <xdr:cNvPr id="1152" name="Option Button 128" hidden="1">
                <a:extLst>
                  <a:ext uri="{63B3BB69-23CF-44E3-9099-C40C66FF867C}">
                    <a14:compatExt spid="_x0000_s1152"/>
                  </a:ext>
                  <a:ext uri="{FF2B5EF4-FFF2-40B4-BE49-F238E27FC236}">
                    <a16:creationId xmlns:a16="http://schemas.microsoft.com/office/drawing/2014/main" id="{00000000-0008-0000-0000-000080040000}"/>
                  </a:ext>
                </a:extLst>
              </xdr:cNvPr>
              <xdr:cNvSpPr/>
            </xdr:nvSpPr>
            <xdr:spPr bwMode="auto">
              <a:xfrm>
                <a:off x="2133598" y="5610597"/>
                <a:ext cx="1479550" cy="22304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Sooth &amp; Relax</a:t>
                </a:r>
              </a:p>
            </xdr:txBody>
          </xdr:sp>
          <xdr:sp macro="" textlink="">
            <xdr:nvSpPr>
              <xdr:cNvPr id="1153" name="Option Button 129" hidden="1">
                <a:extLst>
                  <a:ext uri="{63B3BB69-23CF-44E3-9099-C40C66FF867C}">
                    <a14:compatExt spid="_x0000_s1153"/>
                  </a:ext>
                  <a:ext uri="{FF2B5EF4-FFF2-40B4-BE49-F238E27FC236}">
                    <a16:creationId xmlns:a16="http://schemas.microsoft.com/office/drawing/2014/main" id="{00000000-0008-0000-0000-000081040000}"/>
                  </a:ext>
                </a:extLst>
              </xdr:cNvPr>
              <xdr:cNvSpPr/>
            </xdr:nvSpPr>
            <xdr:spPr bwMode="auto">
              <a:xfrm>
                <a:off x="468330" y="5863197"/>
                <a:ext cx="1475581" cy="223043"/>
              </a:xfrm>
              <a:prstGeom prst="rect">
                <a:avLst/>
              </a:prstGeom>
              <a:solidFill>
                <a:srgbClr val="E2EFDA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Essentials Plus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292100</xdr:colOff>
          <xdr:row>37</xdr:row>
          <xdr:rowOff>25400</xdr:rowOff>
        </xdr:from>
        <xdr:to>
          <xdr:col>3</xdr:col>
          <xdr:colOff>63500</xdr:colOff>
          <xdr:row>38</xdr:row>
          <xdr:rowOff>63500</xdr:rowOff>
        </xdr:to>
        <xdr:sp macro="" textlink="">
          <xdr:nvSpPr>
            <xdr:cNvPr id="1159" name="Option 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Upgrade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374</xdr:row>
          <xdr:rowOff>0</xdr:rowOff>
        </xdr:from>
        <xdr:to>
          <xdr:col>12</xdr:col>
          <xdr:colOff>355600</xdr:colOff>
          <xdr:row>375</xdr:row>
          <xdr:rowOff>38100</xdr:rowOff>
        </xdr:to>
        <xdr:sp macro="" textlink="">
          <xdr:nvSpPr>
            <xdr:cNvPr id="2052" name="ComboBox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C58F92-DF01-486A-B53F-8F9947D88982}" name="Table1" displayName="Table1" ref="B6:B8" totalsRowShown="0" headerRowDxfId="37" dataDxfId="36">
  <autoFilter ref="B6:B8" xr:uid="{D1C58F92-DF01-486A-B53F-8F9947D88982}"/>
  <tableColumns count="1">
    <tableColumn id="1" xr3:uid="{D84E6935-78C5-4A86-806F-D7BDECDA8F9F}" name="Pet" dataDxfId="3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83D063C-DBDD-4686-B2F9-7DE0F2F12AA3}" name="Table2" displayName="Table2" ref="B10:B13" totalsRowShown="0" headerRowDxfId="34" dataDxfId="33">
  <autoFilter ref="B10:B13" xr:uid="{683D063C-DBDD-4686-B2F9-7DE0F2F12AA3}"/>
  <tableColumns count="1">
    <tableColumn id="1" xr3:uid="{C8A1F56E-4C2F-4140-836D-8392DF9CD6F6}" name="Location" dataDxfId="3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FD7B077-A1FA-48D5-B851-DF531A6B6D7E}" name="Table5" displayName="Table5" ref="B15:B22" totalsRowShown="0" headerRowDxfId="31" dataDxfId="30">
  <autoFilter ref="B15:B22" xr:uid="{CFD7B077-A1FA-48D5-B851-DF531A6B6D7E}"/>
  <tableColumns count="1">
    <tableColumn id="1" xr3:uid="{763BC547-D860-4617-96BD-153F79B02AC9}" name="Time Slots" dataDxfId="2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7C21891-172B-4A2F-AD73-8E3E4C3A40AC}" name="Table7" displayName="Table7" ref="F6:F8" totalsRowShown="0" headerRowDxfId="28" dataDxfId="27">
  <autoFilter ref="F6:F8" xr:uid="{97C21891-172B-4A2F-AD73-8E3E4C3A40AC}"/>
  <tableColumns count="1">
    <tableColumn id="1" xr3:uid="{0D9CC8C1-44ED-4023-AE2D-F754A1F58362}" name="Sex" dataDxfId="26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F894FDB-2312-483D-B41E-EBEB60D21B0C}" name="Table8" displayName="Table8" ref="F53:F56" totalsRowShown="0" headerRowDxfId="25" dataDxfId="24">
  <autoFilter ref="F53:F56" xr:uid="{CF894FDB-2312-483D-B41E-EBEB60D21B0C}"/>
  <tableColumns count="1">
    <tableColumn id="1" xr3:uid="{4EBB3232-70D4-4A9F-9FA3-3CE7FE35B45A}" name="Weight" dataDxfId="23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EE0C36A-7C75-4896-9813-A3DA32DA4DF8}" name="Table9" displayName="Table9" ref="F58:F65" totalsRowShown="0" headerRowDxfId="22" dataDxfId="21">
  <autoFilter ref="F58:F65" xr:uid="{BEE0C36A-7C75-4896-9813-A3DA32DA4DF8}"/>
  <tableColumns count="1">
    <tableColumn id="1" xr3:uid="{7ED9AF1E-F790-4E4F-806B-BCDB9D4DD477}" name="Color" dataDxfId="20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664C887-A325-4731-A973-E9B25423B518}" name="Table10" displayName="Table10" ref="F10:F22" totalsRowShown="0" headerRowDxfId="19" dataDxfId="18">
  <autoFilter ref="F10:F22" xr:uid="{6664C887-A325-4731-A973-E9B25423B518}"/>
  <tableColumns count="1">
    <tableColumn id="1" xr3:uid="{F1A2CE48-F788-4F31-BF67-433A2CECDA9B}" name="Month" dataDxfId="17"/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39C1872-9B38-4B85-BD78-3AD9FD3A13F2}" name="Table11" displayName="Table11" ref="F24:F46" totalsRowShown="0" headerRowDxfId="16" dataDxfId="15">
  <autoFilter ref="F24:F46" xr:uid="{639C1872-9B38-4B85-BD78-3AD9FD3A13F2}"/>
  <tableColumns count="1">
    <tableColumn id="1" xr3:uid="{AD797339-E2A6-47BB-8AEA-12A16D973C0E}" name="Year" dataDxfId="14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1BC958-5576-4608-85B5-3662E704B403}" name="Table12" displayName="Table12" ref="B24:B31" totalsRowShown="0" headerRowDxfId="13" dataDxfId="12">
  <autoFilter ref="B24:B31" xr:uid="{A01BC958-5576-4608-85B5-3662E704B403}"/>
  <tableColumns count="1">
    <tableColumn id="1" xr3:uid="{EB411A66-02EA-4D37-B39F-CC1870ECF98B}" name="Groomer" dataDxfId="1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98C9720-F021-48F8-9DD6-36E8D89D1FF5}" name="Table13" displayName="Table13" ref="F48:F51" totalsRowShown="0" headerRowDxfId="10" dataDxfId="9">
  <autoFilter ref="F48:F51" xr:uid="{D98C9720-F021-48F8-9DD6-36E8D89D1FF5}"/>
  <tableColumns count="1">
    <tableColumn id="1" xr3:uid="{96A2E1FB-6982-4428-B002-828B66216136}" name="Hair Length" dataDxfId="8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8132B6-91DE-4E30-8EBF-9E3E71131BD0}" name="Table3" displayName="Table3" ref="H6:H375" totalsRowShown="0" headerRowDxfId="7" dataDxfId="6">
  <autoFilter ref="H6:H375" xr:uid="{3F8132B6-91DE-4E30-8EBF-9E3E71131BD0}"/>
  <tableColumns count="1">
    <tableColumn id="1" xr3:uid="{00470785-643A-4677-9830-E917733CF45D}" name="Breed" dataDxfId="5"/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6A54BB2-8AB1-4439-924F-57438FEEB3A0}" name="Table6" displayName="Table6" ref="J6:J8" totalsRowShown="0" headerRowDxfId="4">
  <autoFilter ref="J6:J8" xr:uid="{56A54BB2-8AB1-4439-924F-57438FEEB3A0}"/>
  <tableColumns count="1">
    <tableColumn id="1" xr3:uid="{EBBF7D9C-4376-45B9-92B4-31D73DC1B449}" name="Services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0B05251-4AE0-4A82-A489-DB767C220ADA}" name="Table14" displayName="Table14" ref="J10:J12" totalsRowShown="0">
  <autoFilter ref="J10:J12" xr:uid="{80B05251-4AE0-4A82-A489-DB767C220ADA}"/>
  <tableColumns count="1">
    <tableColumn id="1" xr3:uid="{A228211F-4266-4BB8-A2CE-86671C30FFE8}" name="Bandana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62FD9F0-C9EC-4CED-9755-2F7A184DF0FA}" name="Table15" displayName="Table15" ref="F67:F117" totalsRowShown="0" dataDxfId="3">
  <autoFilter ref="F67:F117" xr:uid="{562FD9F0-C9EC-4CED-9755-2F7A184DF0FA}"/>
  <tableColumns count="1">
    <tableColumn id="1" xr3:uid="{78EABD4C-A991-4737-B18D-7498FCC69F02}" name="State" dataDxfId="2"/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269A8C1-2561-45C6-9E6B-D8C1E1F287D3}" name="Table.Date" displayName="Table.Date" ref="D6:D403" totalsRowShown="0" headerRowDxfId="1">
  <autoFilter ref="D6:D403" xr:uid="{3269A8C1-2561-45C6-9E6B-D8C1E1F287D3}"/>
  <tableColumns count="1">
    <tableColumn id="1" xr3:uid="{176476EE-457E-4B21-807A-C20EAA0ABF1E}" name="Dat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17" Type="http://schemas.openxmlformats.org/officeDocument/2006/relationships/table" Target="../tables/table15.xml"/><Relationship Id="rId2" Type="http://schemas.openxmlformats.org/officeDocument/2006/relationships/vmlDrawing" Target="../drawings/vmlDrawing2.vml"/><Relationship Id="rId16" Type="http://schemas.openxmlformats.org/officeDocument/2006/relationships/table" Target="../tables/table14.xml"/><Relationship Id="rId1" Type="http://schemas.openxmlformats.org/officeDocument/2006/relationships/drawing" Target="../drawings/drawing2.xml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5" Type="http://schemas.openxmlformats.org/officeDocument/2006/relationships/table" Target="../tables/table1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378A8-413F-497B-8F05-B4EF24248BBA}">
  <sheetPr codeName="EnterInfo">
    <pageSetUpPr fitToPage="1"/>
  </sheetPr>
  <dimension ref="A1:G56"/>
  <sheetViews>
    <sheetView zoomScale="60" zoomScaleNormal="60" zoomScaleSheetLayoutView="90" workbookViewId="0">
      <selection sqref="A1:G56"/>
    </sheetView>
  </sheetViews>
  <sheetFormatPr baseColWidth="10" defaultColWidth="8.6640625" defaultRowHeight="14"/>
  <cols>
    <col min="1" max="1" width="3.5" style="8" customWidth="1"/>
    <col min="2" max="2" width="21.33203125" style="10" customWidth="1"/>
    <col min="3" max="3" width="24.6640625" style="9" customWidth="1"/>
    <col min="4" max="4" width="2.6640625" style="8" customWidth="1"/>
    <col min="5" max="5" width="17" style="8" customWidth="1"/>
    <col min="6" max="6" width="34" style="9" customWidth="1"/>
    <col min="7" max="7" width="2.6640625" style="8" customWidth="1"/>
    <col min="8" max="16384" width="8.6640625" style="8"/>
  </cols>
  <sheetData>
    <row r="1" spans="1:7">
      <c r="A1" s="27"/>
      <c r="B1" s="28"/>
      <c r="C1" s="29"/>
      <c r="D1" s="30"/>
      <c r="E1" s="30"/>
      <c r="F1" s="29"/>
      <c r="G1" s="27"/>
    </row>
    <row r="2" spans="1:7" ht="15.5" customHeight="1">
      <c r="A2" s="27"/>
      <c r="B2" s="92" t="s">
        <v>0</v>
      </c>
      <c r="C2" s="92"/>
      <c r="D2" s="92"/>
      <c r="E2" s="92"/>
      <c r="F2" s="92"/>
      <c r="G2" s="27"/>
    </row>
    <row r="3" spans="1:7" ht="15" hidden="1">
      <c r="A3" s="27"/>
      <c r="B3" s="31"/>
      <c r="C3" s="31"/>
      <c r="D3" s="31"/>
      <c r="E3" s="30"/>
      <c r="F3" s="30"/>
      <c r="G3" s="27"/>
    </row>
    <row r="4" spans="1:7" hidden="1">
      <c r="A4" s="27"/>
      <c r="B4" s="28"/>
      <c r="C4" s="90" t="s">
        <v>453</v>
      </c>
      <c r="D4" s="90"/>
      <c r="E4" s="90"/>
      <c r="F4" s="30"/>
      <c r="G4" s="27"/>
    </row>
    <row r="5" spans="1:7" ht="7" hidden="1" customHeight="1">
      <c r="A5" s="27"/>
      <c r="B5" s="30"/>
      <c r="C5" s="31"/>
      <c r="D5" s="31"/>
      <c r="E5" s="30"/>
      <c r="F5" s="30"/>
      <c r="G5" s="27"/>
    </row>
    <row r="6" spans="1:7" ht="15" hidden="1">
      <c r="A6" s="27"/>
      <c r="B6" s="30"/>
      <c r="C6" s="31">
        <v>1</v>
      </c>
      <c r="D6" s="31"/>
      <c r="E6" s="30"/>
      <c r="F6" s="30"/>
      <c r="G6" s="27"/>
    </row>
    <row r="7" spans="1:7">
      <c r="A7" s="27"/>
      <c r="B7" s="28"/>
      <c r="C7" s="29"/>
      <c r="D7" s="30"/>
      <c r="E7" s="30"/>
      <c r="F7" s="30"/>
      <c r="G7" s="27"/>
    </row>
    <row r="8" spans="1:7" ht="14.5" customHeight="1">
      <c r="A8" s="27"/>
      <c r="B8" s="94" t="s">
        <v>424</v>
      </c>
      <c r="C8" s="94"/>
      <c r="D8" s="94"/>
      <c r="E8" s="94"/>
      <c r="F8" s="94"/>
      <c r="G8" s="27"/>
    </row>
    <row r="9" spans="1:7" ht="7" customHeight="1">
      <c r="A9" s="27"/>
      <c r="B9" s="30"/>
      <c r="C9" s="30"/>
      <c r="D9" s="31"/>
      <c r="E9" s="31"/>
      <c r="F9" s="31"/>
      <c r="G9" s="27"/>
    </row>
    <row r="10" spans="1:7" ht="14.5" customHeight="1">
      <c r="A10" s="27"/>
      <c r="B10" s="54" t="s">
        <v>7</v>
      </c>
      <c r="C10" s="55" t="s">
        <v>6</v>
      </c>
      <c r="D10" s="27"/>
      <c r="E10" s="54"/>
      <c r="F10" s="33"/>
      <c r="G10" s="34"/>
    </row>
    <row r="11" spans="1:7" ht="7" customHeight="1">
      <c r="A11" s="27"/>
      <c r="B11" s="30"/>
      <c r="C11" s="30"/>
      <c r="D11" s="32"/>
      <c r="E11" s="32"/>
      <c r="F11" s="32"/>
      <c r="G11" s="27"/>
    </row>
    <row r="12" spans="1:7" ht="14.5" customHeight="1">
      <c r="A12" s="27"/>
      <c r="B12" s="53" t="s">
        <v>1</v>
      </c>
      <c r="C12" s="56" t="s">
        <v>9</v>
      </c>
      <c r="D12" s="35"/>
      <c r="E12" s="53" t="s">
        <v>4</v>
      </c>
      <c r="F12" s="57">
        <v>45263</v>
      </c>
      <c r="G12" s="34"/>
    </row>
    <row r="13" spans="1:7" ht="14.5" customHeight="1">
      <c r="A13" s="27"/>
      <c r="B13" s="53" t="s">
        <v>425</v>
      </c>
      <c r="C13" s="58" t="s">
        <v>426</v>
      </c>
      <c r="D13" s="30"/>
      <c r="E13" s="53" t="s">
        <v>8</v>
      </c>
      <c r="F13" s="80" t="s">
        <v>443</v>
      </c>
      <c r="G13" s="27"/>
    </row>
    <row r="14" spans="1:7" ht="14.5" hidden="1" customHeight="1">
      <c r="A14" s="27"/>
      <c r="B14" s="28"/>
      <c r="C14" s="36"/>
      <c r="D14" s="30"/>
      <c r="E14" s="28"/>
      <c r="F14" s="37"/>
      <c r="G14" s="27"/>
    </row>
    <row r="15" spans="1:7" ht="14.5" customHeight="1">
      <c r="A15" s="27"/>
      <c r="B15" s="28"/>
      <c r="C15" s="38"/>
      <c r="D15" s="30"/>
      <c r="E15" s="28"/>
      <c r="F15" s="37"/>
      <c r="G15" s="27"/>
    </row>
    <row r="16" spans="1:7" ht="14.5" customHeight="1">
      <c r="A16" s="27"/>
      <c r="B16" s="94" t="s">
        <v>14</v>
      </c>
      <c r="C16" s="94"/>
      <c r="D16" s="94"/>
      <c r="E16" s="94"/>
      <c r="F16" s="94">
        <v>2</v>
      </c>
      <c r="G16" s="27"/>
    </row>
    <row r="17" spans="1:7" ht="7" customHeight="1">
      <c r="A17" s="27"/>
      <c r="B17" s="30"/>
      <c r="C17" s="30"/>
      <c r="D17" s="31"/>
      <c r="E17" s="31"/>
      <c r="F17" s="31"/>
      <c r="G17" s="27"/>
    </row>
    <row r="18" spans="1:7">
      <c r="A18" s="27"/>
      <c r="B18" s="53" t="s">
        <v>15</v>
      </c>
      <c r="C18" s="51" t="s">
        <v>537</v>
      </c>
      <c r="D18" s="30"/>
      <c r="E18" s="53" t="s">
        <v>451</v>
      </c>
      <c r="F18" s="51" t="s">
        <v>428</v>
      </c>
      <c r="G18" s="27"/>
    </row>
    <row r="19" spans="1:7">
      <c r="A19" s="27"/>
      <c r="B19" s="53"/>
      <c r="C19" s="30"/>
      <c r="D19" s="30"/>
      <c r="E19" s="53" t="s">
        <v>23</v>
      </c>
      <c r="F19" s="51" t="s">
        <v>532</v>
      </c>
      <c r="G19" s="27"/>
    </row>
    <row r="20" spans="1:7">
      <c r="A20" s="27"/>
      <c r="B20" s="53" t="s">
        <v>17</v>
      </c>
      <c r="C20" s="51" t="s">
        <v>391</v>
      </c>
      <c r="D20" s="30"/>
      <c r="E20" s="53" t="s">
        <v>21</v>
      </c>
      <c r="F20" s="52">
        <v>6318809085</v>
      </c>
      <c r="G20" s="27"/>
    </row>
    <row r="21" spans="1:7" ht="15">
      <c r="A21" s="27"/>
      <c r="B21" s="53" t="s">
        <v>16</v>
      </c>
      <c r="C21" s="51" t="s">
        <v>394</v>
      </c>
      <c r="D21" s="30"/>
      <c r="E21" s="53" t="s">
        <v>22</v>
      </c>
      <c r="F21" s="24" t="s">
        <v>538</v>
      </c>
      <c r="G21" s="27"/>
    </row>
    <row r="22" spans="1:7">
      <c r="A22" s="27"/>
      <c r="B22" s="53" t="s">
        <v>20</v>
      </c>
      <c r="C22" s="51" t="s">
        <v>410</v>
      </c>
      <c r="D22" s="30"/>
      <c r="E22" s="53" t="s">
        <v>434</v>
      </c>
      <c r="F22" s="51" t="s">
        <v>539</v>
      </c>
      <c r="G22" s="27"/>
    </row>
    <row r="23" spans="1:7">
      <c r="A23" s="27"/>
      <c r="B23" s="30"/>
      <c r="C23" s="51">
        <v>2019</v>
      </c>
      <c r="D23" s="30"/>
      <c r="E23" s="53" t="s">
        <v>435</v>
      </c>
      <c r="F23" s="51" t="s">
        <v>540</v>
      </c>
      <c r="G23" s="27"/>
    </row>
    <row r="24" spans="1:7">
      <c r="A24" s="27"/>
      <c r="B24" s="53" t="s">
        <v>19</v>
      </c>
      <c r="C24" s="51" t="s">
        <v>397</v>
      </c>
      <c r="D24" s="30"/>
      <c r="E24" s="53" t="s">
        <v>2</v>
      </c>
      <c r="F24" s="51" t="s">
        <v>531</v>
      </c>
      <c r="G24" s="27"/>
    </row>
    <row r="25" spans="1:7">
      <c r="A25" s="27"/>
      <c r="B25" s="53" t="s">
        <v>18</v>
      </c>
      <c r="C25" s="51" t="s">
        <v>404</v>
      </c>
      <c r="D25" s="30"/>
      <c r="E25" s="53" t="s">
        <v>479</v>
      </c>
      <c r="F25" s="51" t="s">
        <v>530</v>
      </c>
      <c r="G25" s="27"/>
    </row>
    <row r="26" spans="1:7">
      <c r="A26" s="27"/>
      <c r="B26" s="53" t="s">
        <v>436</v>
      </c>
      <c r="C26" s="51" t="s">
        <v>438</v>
      </c>
      <c r="D26" s="30"/>
      <c r="E26" s="53" t="s">
        <v>422</v>
      </c>
      <c r="F26" s="68">
        <v>11741</v>
      </c>
      <c r="G26" s="27"/>
    </row>
    <row r="27" spans="1:7" hidden="1">
      <c r="A27" s="27"/>
      <c r="B27" s="39"/>
      <c r="C27" s="40"/>
      <c r="D27" s="30"/>
      <c r="E27" s="39"/>
      <c r="F27" s="41">
        <v>11779</v>
      </c>
      <c r="G27" s="27"/>
    </row>
    <row r="28" spans="1:7">
      <c r="A28" s="27"/>
      <c r="B28" s="39"/>
      <c r="C28" s="40"/>
      <c r="D28" s="30"/>
      <c r="E28" s="39"/>
      <c r="F28" s="41"/>
      <c r="G28" s="27"/>
    </row>
    <row r="29" spans="1:7">
      <c r="A29" s="27"/>
      <c r="B29" s="39"/>
      <c r="C29" s="30"/>
      <c r="D29" s="30"/>
      <c r="E29" s="39" t="s">
        <v>423</v>
      </c>
      <c r="F29" s="29"/>
      <c r="G29" s="27"/>
    </row>
    <row r="30" spans="1:7">
      <c r="A30" s="27"/>
      <c r="B30" s="27"/>
      <c r="C30" s="27"/>
      <c r="D30" s="27"/>
      <c r="E30" s="27"/>
      <c r="F30" s="33"/>
      <c r="G30" s="27"/>
    </row>
    <row r="31" spans="1:7" ht="15">
      <c r="A31" s="27"/>
      <c r="B31" s="93" t="s">
        <v>454</v>
      </c>
      <c r="C31" s="93"/>
      <c r="D31" s="27"/>
      <c r="E31" s="93" t="s">
        <v>423</v>
      </c>
      <c r="F31" s="93"/>
      <c r="G31" s="27"/>
    </row>
    <row r="32" spans="1:7" ht="7" customHeight="1">
      <c r="A32" s="27"/>
      <c r="B32" s="27"/>
      <c r="C32" s="27"/>
      <c r="D32" s="42"/>
      <c r="E32" s="42"/>
      <c r="F32" s="42"/>
      <c r="G32" s="27"/>
    </row>
    <row r="33" spans="1:7">
      <c r="A33" s="27"/>
      <c r="B33" s="95" t="s">
        <v>473</v>
      </c>
      <c r="C33" s="96"/>
      <c r="D33" s="27"/>
      <c r="E33" s="27" t="b">
        <v>1</v>
      </c>
      <c r="F33" s="33" t="b">
        <v>1</v>
      </c>
      <c r="G33" s="27"/>
    </row>
    <row r="34" spans="1:7">
      <c r="A34" s="27"/>
      <c r="B34" s="27"/>
      <c r="C34" s="33"/>
      <c r="D34" s="27"/>
      <c r="E34" s="27" t="b">
        <v>1</v>
      </c>
      <c r="F34" s="33" t="b">
        <v>0</v>
      </c>
      <c r="G34" s="27"/>
    </row>
    <row r="35" spans="1:7" ht="15">
      <c r="A35" s="27"/>
      <c r="B35" s="93" t="s">
        <v>452</v>
      </c>
      <c r="C35" s="93"/>
      <c r="D35" s="27"/>
      <c r="E35" s="27" t="b">
        <v>0</v>
      </c>
      <c r="F35" s="33"/>
      <c r="G35" s="27"/>
    </row>
    <row r="36" spans="1:7" ht="7" customHeight="1">
      <c r="A36" s="27"/>
      <c r="B36" s="27"/>
      <c r="C36" s="27"/>
      <c r="D36" s="42"/>
      <c r="E36" s="42"/>
      <c r="F36" s="42"/>
      <c r="G36" s="27"/>
    </row>
    <row r="37" spans="1:7">
      <c r="A37" s="27"/>
      <c r="B37" s="33">
        <v>6</v>
      </c>
      <c r="C37" s="33"/>
      <c r="D37" s="27"/>
      <c r="E37" s="27"/>
      <c r="F37" s="33"/>
      <c r="G37" s="27"/>
    </row>
    <row r="38" spans="1:7">
      <c r="A38" s="27"/>
      <c r="B38" s="27"/>
      <c r="C38" s="33"/>
      <c r="D38" s="27"/>
      <c r="E38" s="43" t="s">
        <v>449</v>
      </c>
      <c r="F38" s="49" t="s">
        <v>475</v>
      </c>
      <c r="G38" s="27"/>
    </row>
    <row r="39" spans="1:7">
      <c r="A39" s="27"/>
      <c r="B39" s="27"/>
      <c r="C39" s="33"/>
      <c r="D39" s="27"/>
      <c r="E39" s="44"/>
      <c r="F39" s="33"/>
      <c r="G39" s="27"/>
    </row>
    <row r="40" spans="1:7">
      <c r="A40" s="27"/>
      <c r="B40" s="27"/>
      <c r="C40" s="33"/>
      <c r="D40" s="27"/>
      <c r="E40" s="44"/>
      <c r="F40" s="33"/>
      <c r="G40" s="27"/>
    </row>
    <row r="41" spans="1:7">
      <c r="A41" s="27"/>
      <c r="B41" s="27"/>
      <c r="C41" s="33"/>
      <c r="D41" s="27"/>
      <c r="E41" s="27"/>
      <c r="F41" s="33"/>
      <c r="G41" s="27"/>
    </row>
    <row r="42" spans="1:7" ht="15">
      <c r="A42" s="27"/>
      <c r="B42" s="91" t="s">
        <v>433</v>
      </c>
      <c r="C42" s="91"/>
      <c r="D42" s="91"/>
      <c r="E42" s="91"/>
      <c r="F42" s="91"/>
      <c r="G42" s="27"/>
    </row>
    <row r="43" spans="1:7" ht="7" customHeight="1">
      <c r="A43" s="27"/>
      <c r="B43" s="27"/>
      <c r="C43" s="27"/>
      <c r="D43" s="42"/>
      <c r="E43" s="42"/>
      <c r="F43" s="42"/>
      <c r="G43" s="27"/>
    </row>
    <row r="44" spans="1:7" ht="14.5" customHeight="1">
      <c r="A44" s="27"/>
      <c r="B44" s="27"/>
      <c r="C44" s="44" t="s">
        <v>447</v>
      </c>
      <c r="D44" s="27"/>
      <c r="E44" s="50" cm="1">
        <f t="array" ref="E44">ztotalservices(SelectService,SelectUpgrade)+zTotalAddons(E33,E34,E35,F33,F34)</f>
        <v>195</v>
      </c>
      <c r="F44" s="27"/>
      <c r="G44" s="27"/>
    </row>
    <row r="45" spans="1:7" ht="7" customHeight="1">
      <c r="A45" s="27"/>
      <c r="B45" s="27"/>
      <c r="C45" s="27"/>
      <c r="D45" s="42"/>
      <c r="E45" s="42"/>
      <c r="F45" s="33"/>
      <c r="G45" s="27"/>
    </row>
    <row r="46" spans="1:7" ht="14.5" customHeight="1">
      <c r="A46" s="27"/>
      <c r="B46" s="27"/>
      <c r="C46" s="44" t="s">
        <v>448</v>
      </c>
      <c r="D46" s="27"/>
      <c r="E46" s="50">
        <f>E44*0.2</f>
        <v>39</v>
      </c>
      <c r="F46" s="33"/>
      <c r="G46" s="27"/>
    </row>
    <row r="47" spans="1:7" ht="7" customHeight="1" thickBot="1">
      <c r="A47" s="27"/>
      <c r="B47" s="27"/>
      <c r="C47" s="27"/>
      <c r="D47" s="42"/>
      <c r="E47" s="42"/>
      <c r="F47" s="33"/>
      <c r="G47" s="27"/>
    </row>
    <row r="48" spans="1:7" ht="15" thickBot="1">
      <c r="A48" s="27"/>
      <c r="B48" s="27"/>
      <c r="C48" s="45" t="s">
        <v>477</v>
      </c>
      <c r="D48" s="46"/>
      <c r="E48" s="67">
        <f>SUM(E44,E46)</f>
        <v>234</v>
      </c>
      <c r="F48" s="27"/>
      <c r="G48" s="27"/>
    </row>
    <row r="49" spans="1:7" ht="7" customHeight="1">
      <c r="A49" s="27"/>
      <c r="B49" s="27"/>
      <c r="C49" s="27"/>
      <c r="D49" s="42"/>
      <c r="E49" s="42"/>
      <c r="F49" s="33"/>
      <c r="G49" s="27"/>
    </row>
    <row r="50" spans="1:7" ht="14.5" customHeight="1">
      <c r="A50" s="27"/>
      <c r="B50" s="47"/>
      <c r="C50" s="44" t="s">
        <v>450</v>
      </c>
      <c r="D50" s="48"/>
      <c r="E50" s="33"/>
      <c r="F50" s="33"/>
      <c r="G50" s="27"/>
    </row>
    <row r="51" spans="1:7" hidden="1">
      <c r="A51" s="27"/>
      <c r="B51" s="28"/>
      <c r="C51" s="29"/>
      <c r="D51" s="30"/>
      <c r="E51" s="30"/>
      <c r="F51" s="29"/>
      <c r="G51" s="27"/>
    </row>
    <row r="52" spans="1:7" ht="7" customHeight="1">
      <c r="A52" s="27"/>
      <c r="B52" s="30"/>
      <c r="C52" s="30"/>
      <c r="D52" s="31"/>
      <c r="E52" s="31"/>
      <c r="F52" s="29"/>
      <c r="G52" s="27"/>
    </row>
    <row r="53" spans="1:7">
      <c r="A53" s="27"/>
      <c r="B53" s="28"/>
      <c r="C53" s="29"/>
      <c r="D53" s="30"/>
      <c r="E53" s="30"/>
      <c r="F53" s="29"/>
      <c r="G53" s="27"/>
    </row>
    <row r="54" spans="1:7">
      <c r="A54" s="27"/>
      <c r="B54" s="28"/>
      <c r="C54" s="29"/>
      <c r="D54" s="30"/>
      <c r="E54" s="30"/>
      <c r="F54" s="29"/>
      <c r="G54" s="27"/>
    </row>
    <row r="55" spans="1:7">
      <c r="A55" s="27"/>
      <c r="B55" s="47"/>
      <c r="C55" s="33"/>
      <c r="D55" s="27"/>
      <c r="E55" s="27"/>
      <c r="F55" s="33"/>
      <c r="G55" s="27"/>
    </row>
    <row r="56" spans="1:7">
      <c r="A56" s="27"/>
      <c r="B56" s="47"/>
      <c r="C56" s="33"/>
      <c r="D56" s="27"/>
      <c r="E56" s="27"/>
      <c r="F56" s="33"/>
      <c r="G56" s="27"/>
    </row>
  </sheetData>
  <sheetProtection formatCells="0" formatColumns="0" formatRows="0" insertColumns="0" insertRows="0" insertHyperlinks="0" deleteColumns="0" deleteRows="0" sort="0" autoFilter="0" pivotTables="0"/>
  <mergeCells count="9">
    <mergeCell ref="C4:E4"/>
    <mergeCell ref="B42:F42"/>
    <mergeCell ref="B2:F2"/>
    <mergeCell ref="E31:F31"/>
    <mergeCell ref="B35:C35"/>
    <mergeCell ref="B31:C31"/>
    <mergeCell ref="B16:F16"/>
    <mergeCell ref="B8:F8"/>
    <mergeCell ref="B33:C33"/>
  </mergeCells>
  <printOptions gridLines="1"/>
  <pageMargins left="0.7" right="0.7" top="0.75" bottom="0.75" header="0.3" footer="0.3"/>
  <pageSetup scale="8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0" r:id="rId4" name="SelectEarCleaning">
              <controlPr defaultSize="0" autoFill="0" autoLine="0" autoPict="0">
                <anchor moveWithCells="1">
                  <from>
                    <xdr:col>2</xdr:col>
                    <xdr:colOff>1866900</xdr:colOff>
                    <xdr:row>33</xdr:row>
                    <xdr:rowOff>38100</xdr:rowOff>
                  </from>
                  <to>
                    <xdr:col>5</xdr:col>
                    <xdr:colOff>254000</xdr:colOff>
                    <xdr:row>34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5" name="SelectTeethCleaning">
              <controlPr defaultSize="0" autoFill="0" autoLine="0" autoPict="0">
                <anchor moveWithCells="1">
                  <from>
                    <xdr:col>2</xdr:col>
                    <xdr:colOff>1866900</xdr:colOff>
                    <xdr:row>34</xdr:row>
                    <xdr:rowOff>101600</xdr:rowOff>
                  </from>
                  <to>
                    <xdr:col>5</xdr:col>
                    <xdr:colOff>254000</xdr:colOff>
                    <xdr:row>36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6" name="SelectFleaCleanse">
              <controlPr defaultSize="0" autoFill="0" autoLine="0" autoPict="0">
                <anchor moveWithCells="1">
                  <from>
                    <xdr:col>5</xdr:col>
                    <xdr:colOff>190500</xdr:colOff>
                    <xdr:row>34</xdr:row>
                    <xdr:rowOff>127000</xdr:rowOff>
                  </from>
                  <to>
                    <xdr:col>5</xdr:col>
                    <xdr:colOff>2120900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7" name="SelectNailTrimBuff">
              <controlPr defaultSize="0" autoFill="0" autoLine="0" autoPict="0">
                <anchor moveWithCells="1">
                  <from>
                    <xdr:col>2</xdr:col>
                    <xdr:colOff>1866900</xdr:colOff>
                    <xdr:row>36</xdr:row>
                    <xdr:rowOff>127000</xdr:rowOff>
                  </from>
                  <to>
                    <xdr:col>5</xdr:col>
                    <xdr:colOff>254000</xdr:colOff>
                    <xdr:row>37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8" name="SelectShedRelease">
              <controlPr defaultSize="0" autoFill="0" autoLine="0" autoPict="0">
                <anchor moveWithCells="1">
                  <from>
                    <xdr:col>5</xdr:col>
                    <xdr:colOff>190500</xdr:colOff>
                    <xdr:row>33</xdr:row>
                    <xdr:rowOff>38100</xdr:rowOff>
                  </from>
                  <to>
                    <xdr:col>5</xdr:col>
                    <xdr:colOff>2120900</xdr:colOff>
                    <xdr:row>34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9" name="Button 68">
              <controlPr defaultSize="0" print="0" autoFill="0" autoPict="0" macro="[0]!NotARobot">
                <anchor moveWithCells="1" sizeWithCells="1">
                  <from>
                    <xdr:col>4</xdr:col>
                    <xdr:colOff>0</xdr:colOff>
                    <xdr:row>49</xdr:row>
                    <xdr:rowOff>0</xdr:rowOff>
                  </from>
                  <to>
                    <xdr:col>5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10" name="Button 71">
              <controlPr locked="0" defaultSize="0" print="0" autoFill="0" autoPict="0" macro="[0]!PrintInfo">
                <anchor moveWithCells="1" sizeWithCells="1">
                  <from>
                    <xdr:col>4</xdr:col>
                    <xdr:colOff>0</xdr:colOff>
                    <xdr:row>53</xdr:row>
                    <xdr:rowOff>127000</xdr:rowOff>
                  </from>
                  <to>
                    <xdr:col>5</xdr:col>
                    <xdr:colOff>25400</xdr:colOff>
                    <xdr:row>54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11" name="Button 72">
              <controlPr locked="0" defaultSize="0" print="0" autoFill="0" autoPict="0" macro="[0]!EmailInfo">
                <anchor moveWithCells="1" sizeWithCells="1">
                  <from>
                    <xdr:col>2</xdr:col>
                    <xdr:colOff>25400</xdr:colOff>
                    <xdr:row>53</xdr:row>
                    <xdr:rowOff>127000</xdr:rowOff>
                  </from>
                  <to>
                    <xdr:col>3</xdr:col>
                    <xdr:colOff>25400</xdr:colOff>
                    <xdr:row>54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2" name="Button 73">
              <controlPr locked="0" defaultSize="0" print="0" autoFill="0" autoPict="0" macro="[0]!BookAppointment">
                <anchor moveWithCells="1" sizeWithCells="1">
                  <from>
                    <xdr:col>2</xdr:col>
                    <xdr:colOff>25400</xdr:colOff>
                    <xdr:row>52</xdr:row>
                    <xdr:rowOff>63500</xdr:rowOff>
                  </from>
                  <to>
                    <xdr:col>5</xdr:col>
                    <xdr:colOff>25400</xdr:colOff>
                    <xdr:row>53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3" name="Button 74">
              <controlPr defaultSize="0" print="0" autoFill="0" autoPict="0" macro="[0]!Module1.CreatePetProfile">
                <anchor moveWithCells="1" sizeWithCells="1">
                  <from>
                    <xdr:col>2</xdr:col>
                    <xdr:colOff>127000</xdr:colOff>
                    <xdr:row>27</xdr:row>
                    <xdr:rowOff>165100</xdr:rowOff>
                  </from>
                  <to>
                    <xdr:col>5</xdr:col>
                    <xdr:colOff>127000</xdr:colOff>
                    <xdr:row>28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4" name="Button 76">
              <controlPr defaultSize="0" print="0" autoFill="0" autoPict="0" macro="[0]!ResetEnterInfoSheet">
                <anchor moveWithCells="1" sizeWithCells="1">
                  <from>
                    <xdr:col>2</xdr:col>
                    <xdr:colOff>0</xdr:colOff>
                    <xdr:row>39</xdr:row>
                    <xdr:rowOff>25400</xdr:rowOff>
                  </from>
                  <to>
                    <xdr:col>5</xdr:col>
                    <xdr:colOff>0</xdr:colOff>
                    <xdr:row>40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15" name="Option Button 84">
              <controlPr defaultSize="0" autoFill="0" autoLine="0" autoPict="0">
                <anchor moveWithCells="1">
                  <from>
                    <xdr:col>2</xdr:col>
                    <xdr:colOff>1485900</xdr:colOff>
                    <xdr:row>2</xdr:row>
                    <xdr:rowOff>0</xdr:rowOff>
                  </from>
                  <to>
                    <xdr:col>5</xdr:col>
                    <xdr:colOff>165100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16" name="Option Button 85">
              <controlPr defaultSize="0" autoFill="0" autoLine="0" autoPict="0">
                <anchor moveWithCells="1">
                  <from>
                    <xdr:col>2</xdr:col>
                    <xdr:colOff>165100</xdr:colOff>
                    <xdr:row>2</xdr:row>
                    <xdr:rowOff>0</xdr:rowOff>
                  </from>
                  <to>
                    <xdr:col>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7" name="Get_Profile_Information">
              <controlPr defaultSize="0" print="0" autoFill="0" autoPict="0" macro="[0]!GetProfileInfo">
                <anchor moveWithCells="1" sizeWithCells="1">
                  <from>
                    <xdr:col>4</xdr:col>
                    <xdr:colOff>127000</xdr:colOff>
                    <xdr:row>8</xdr:row>
                    <xdr:rowOff>88900</xdr:rowOff>
                  </from>
                  <to>
                    <xdr:col>5</xdr:col>
                    <xdr:colOff>1739900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8" name="Option Button 127">
              <controlPr defaultSize="0" autoFill="0" autoLine="0" autoPict="0">
                <anchor moveWithCells="1">
                  <from>
                    <xdr:col>1</xdr:col>
                    <xdr:colOff>88900</xdr:colOff>
                    <xdr:row>35</xdr:row>
                    <xdr:rowOff>76200</xdr:rowOff>
                  </from>
                  <to>
                    <xdr:col>2</xdr:col>
                    <xdr:colOff>88900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9" name="Option Button 128">
              <controlPr defaultSize="0" autoFill="0" autoLine="0" autoPict="0">
                <anchor moveWithCells="1">
                  <from>
                    <xdr:col>2</xdr:col>
                    <xdr:colOff>304800</xdr:colOff>
                    <xdr:row>35</xdr:row>
                    <xdr:rowOff>63500</xdr:rowOff>
                  </from>
                  <to>
                    <xdr:col>3</xdr:col>
                    <xdr:colOff>38100</xdr:colOff>
                    <xdr:row>37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20" name="Option Button 129">
              <controlPr defaultSize="0" autoFill="0" autoLine="0" autoPict="0">
                <anchor moveWithCells="1">
                  <from>
                    <xdr:col>1</xdr:col>
                    <xdr:colOff>101600</xdr:colOff>
                    <xdr:row>37</xdr:row>
                    <xdr:rowOff>50800</xdr:rowOff>
                  </from>
                  <to>
                    <xdr:col>2</xdr:col>
                    <xdr:colOff>88900</xdr:colOff>
                    <xdr:row>38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21" name="Option Button 135">
              <controlPr defaultSize="0" autoFill="0" autoLine="0" autoPict="0">
                <anchor moveWithCells="1">
                  <from>
                    <xdr:col>2</xdr:col>
                    <xdr:colOff>292100</xdr:colOff>
                    <xdr:row>37</xdr:row>
                    <xdr:rowOff>25400</xdr:rowOff>
                  </from>
                  <to>
                    <xdr:col>3</xdr:col>
                    <xdr:colOff>63500</xdr:colOff>
                    <xdr:row>38</xdr:row>
                    <xdr:rowOff>63500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5E8FF839-B9F7-43B4-9324-D5470B2E0247}">
          <x14:formula1>
            <xm:f>Data.EnterInfo!$H$7:$H$375</xm:f>
          </x14:formula1>
          <xm:sqref>C20</xm:sqref>
        </x14:dataValidation>
        <x14:dataValidation type="list" allowBlank="1" showInputMessage="1" showErrorMessage="1" xr:uid="{A887B2B3-8A68-4972-AA7C-470544F9322D}">
          <x14:formula1>
            <xm:f>Data.EnterInfo!$F$7:$F$8</xm:f>
          </x14:formula1>
          <xm:sqref>C21</xm:sqref>
        </x14:dataValidation>
        <x14:dataValidation type="list" allowBlank="1" showInputMessage="1" showErrorMessage="1" xr:uid="{43A6BCA9-05F7-44D5-B28B-D1512F8B64F9}">
          <x14:formula1>
            <xm:f>Data.EnterInfo!$F$11:$F$22</xm:f>
          </x14:formula1>
          <xm:sqref>C22</xm:sqref>
        </x14:dataValidation>
        <x14:dataValidation type="list" allowBlank="1" showInputMessage="1" showErrorMessage="1" xr:uid="{A4034122-3F99-4486-BD78-FED148BF61CB}">
          <x14:formula1>
            <xm:f>Data.EnterInfo!$F$54:$F$56</xm:f>
          </x14:formula1>
          <xm:sqref>C24</xm:sqref>
        </x14:dataValidation>
        <x14:dataValidation type="list" allowBlank="1" showInputMessage="1" showErrorMessage="1" xr:uid="{FD0C3482-E991-4FC1-A693-CB31DD340431}">
          <x14:formula1>
            <xm:f>Data.EnterInfo!$F$59:$F$65</xm:f>
          </x14:formula1>
          <xm:sqref>C25</xm:sqref>
        </x14:dataValidation>
        <x14:dataValidation type="list" allowBlank="1" showInputMessage="1" showErrorMessage="1" xr:uid="{32C0ECFF-0D24-434D-849A-E86B7EE0E4B6}">
          <x14:formula1>
            <xm:f>Data.EnterInfo!$F$49:$F$51</xm:f>
          </x14:formula1>
          <xm:sqref>C26</xm:sqref>
        </x14:dataValidation>
        <x14:dataValidation type="list" allowBlank="1" showInputMessage="1" showErrorMessage="1" xr:uid="{645320A9-2593-4FA5-AB28-F0F9D3D3775A}">
          <x14:formula1>
            <xm:f>Data.EnterInfo!$B$11:$B$13</xm:f>
          </x14:formula1>
          <xm:sqref>C12</xm:sqref>
        </x14:dataValidation>
        <x14:dataValidation type="list" allowBlank="1" showInputMessage="1" showErrorMessage="1" xr:uid="{B892D201-B996-4C31-8F7A-B561BA11DC66}">
          <x14:formula1>
            <xm:f>Data.EnterInfo!$B$25:$B$31</xm:f>
          </x14:formula1>
          <xm:sqref>C13:C15</xm:sqref>
        </x14:dataValidation>
        <x14:dataValidation type="list" allowBlank="1" showInputMessage="1" showErrorMessage="1" xr:uid="{07719829-B8DC-478F-B3D2-EA0C02E41BB9}">
          <x14:formula1>
            <xm:f>Data.EnterInfo!$B$7:$B$8</xm:f>
          </x14:formula1>
          <xm:sqref>C10</xm:sqref>
        </x14:dataValidation>
        <x14:dataValidation type="list" allowBlank="1" showInputMessage="1" showErrorMessage="1" xr:uid="{268B6991-07A2-4E8C-8642-1C8C1E16E58E}">
          <x14:formula1>
            <xm:f>Data.EnterInfo!$F$25:$F$46</xm:f>
          </x14:formula1>
          <xm:sqref>C23</xm:sqref>
        </x14:dataValidation>
        <x14:dataValidation type="list" allowBlank="1" showInputMessage="1" showErrorMessage="1" xr:uid="{7E7CC21D-791D-4733-99BF-8F00FD9783BE}">
          <x14:formula1>
            <xm:f>Data.EnterInfo!$J$7:$J$8</xm:f>
          </x14:formula1>
          <xm:sqref>B33</xm:sqref>
        </x14:dataValidation>
        <x14:dataValidation type="list" allowBlank="1" showInputMessage="1" showErrorMessage="1" xr:uid="{7F1421DC-FD00-46F0-9524-B1FB14211811}">
          <x14:formula1>
            <xm:f>Data.EnterInfo!$J$11:$J$12</xm:f>
          </x14:formula1>
          <xm:sqref>F38</xm:sqref>
        </x14:dataValidation>
        <x14:dataValidation type="list" allowBlank="1" showInputMessage="1" showErrorMessage="1" xr:uid="{8CFE46D5-F2C0-4A5C-9ADF-552ADEC6E73D}">
          <x14:formula1>
            <xm:f>Data.EnterInfo!$B$16:$B$22</xm:f>
          </x14:formula1>
          <xm:sqref>F14:F15 F13</xm:sqref>
        </x14:dataValidation>
        <x14:dataValidation type="list" allowBlank="1" showInputMessage="1" showErrorMessage="1" xr:uid="{44D408D0-E884-49A8-B3E2-F2149AED144A}">
          <x14:formula1>
            <xm:f>Data.EnterInfo!$D$7:$D$403</xm:f>
          </x14:formula1>
          <xm:sqref>F12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86BFA-48FB-4F89-9568-53261841FCFC}">
  <sheetPr codeName="Sheet3">
    <pageSetUpPr fitToPage="1"/>
  </sheetPr>
  <dimension ref="A2:L1000"/>
  <sheetViews>
    <sheetView zoomScale="60" zoomScaleNormal="60" workbookViewId="0">
      <selection sqref="A1:M24"/>
    </sheetView>
  </sheetViews>
  <sheetFormatPr baseColWidth="10" defaultColWidth="8.6640625" defaultRowHeight="15"/>
  <cols>
    <col min="1" max="1" width="2.5" customWidth="1"/>
    <col min="2" max="2" width="12.6640625" style="18" customWidth="1"/>
    <col min="3" max="3" width="31.5" style="9" customWidth="1"/>
    <col min="4" max="4" width="13.33203125" style="9" customWidth="1"/>
    <col min="5" max="5" width="15.83203125" style="9" customWidth="1"/>
    <col min="6" max="6" width="32" style="9" customWidth="1"/>
    <col min="7" max="7" width="9.33203125" style="9" customWidth="1"/>
    <col min="8" max="8" width="12.6640625" style="9" customWidth="1"/>
    <col min="9" max="9" width="10.5" style="9" customWidth="1"/>
    <col min="10" max="10" width="16.5" style="9" customWidth="1"/>
    <col min="11" max="11" width="8.6640625" style="9"/>
    <col min="12" max="12" width="12.33203125" style="9" customWidth="1"/>
    <col min="13" max="16384" width="8.6640625" style="9"/>
  </cols>
  <sheetData>
    <row r="2" spans="1:12">
      <c r="B2" s="97" t="s">
        <v>461</v>
      </c>
      <c r="C2" s="97"/>
    </row>
    <row r="3" spans="1:12">
      <c r="B3" s="71"/>
      <c r="C3" s="14"/>
      <c r="D3" s="17"/>
      <c r="E3" s="16"/>
      <c r="F3" s="17"/>
    </row>
    <row r="4" spans="1:12" s="18" customFormat="1">
      <c r="A4"/>
      <c r="B4" s="23" t="s">
        <v>455</v>
      </c>
      <c r="C4" s="23" t="s">
        <v>456</v>
      </c>
      <c r="D4" s="23" t="s">
        <v>457</v>
      </c>
      <c r="E4" s="23" t="s">
        <v>15</v>
      </c>
      <c r="F4" s="23" t="s">
        <v>17</v>
      </c>
      <c r="G4" s="23" t="s">
        <v>16</v>
      </c>
      <c r="H4" s="23" t="s">
        <v>458</v>
      </c>
      <c r="I4" s="23" t="s">
        <v>459</v>
      </c>
      <c r="J4" s="23" t="s">
        <v>19</v>
      </c>
      <c r="K4" s="23" t="s">
        <v>18</v>
      </c>
      <c r="L4" s="23" t="s">
        <v>436</v>
      </c>
    </row>
    <row r="5" spans="1:12">
      <c r="B5" s="72">
        <v>5795.18603515625</v>
      </c>
      <c r="C5" s="13">
        <v>45495</v>
      </c>
      <c r="D5" s="14">
        <v>0.72054398148148147</v>
      </c>
      <c r="E5" s="9" t="s">
        <v>537</v>
      </c>
      <c r="F5" s="9" t="s">
        <v>391</v>
      </c>
      <c r="G5" s="9" t="s">
        <v>394</v>
      </c>
      <c r="H5" s="9" t="s">
        <v>410</v>
      </c>
      <c r="I5" s="9">
        <v>2019</v>
      </c>
      <c r="J5" s="9" t="s">
        <v>397</v>
      </c>
      <c r="K5" s="9" t="s">
        <v>404</v>
      </c>
      <c r="L5" s="9" t="s">
        <v>438</v>
      </c>
    </row>
    <row r="6" spans="1:12">
      <c r="A6" s="1"/>
      <c r="B6" s="72"/>
      <c r="C6" s="16"/>
      <c r="D6" s="17"/>
    </row>
    <row r="7" spans="1:12">
      <c r="B7" s="72"/>
      <c r="C7" s="16"/>
      <c r="D7" s="17"/>
    </row>
    <row r="8" spans="1:12">
      <c r="B8" s="72"/>
      <c r="C8" s="16"/>
      <c r="D8" s="17"/>
    </row>
    <row r="9" spans="1:12">
      <c r="B9" s="72"/>
      <c r="C9" s="16"/>
      <c r="D9" s="17"/>
    </row>
    <row r="10" spans="1:12">
      <c r="B10" s="72"/>
      <c r="C10" s="16"/>
      <c r="D10" s="17"/>
    </row>
    <row r="11" spans="1:12">
      <c r="B11" s="72"/>
      <c r="C11" s="16"/>
      <c r="D11" s="17"/>
    </row>
    <row r="12" spans="1:12">
      <c r="B12" s="72"/>
      <c r="C12" s="16"/>
      <c r="D12" s="17"/>
    </row>
    <row r="13" spans="1:12">
      <c r="B13" s="72"/>
      <c r="C13" s="16"/>
      <c r="D13" s="17"/>
    </row>
    <row r="14" spans="1:12">
      <c r="B14" s="72"/>
      <c r="C14" s="16"/>
      <c r="D14" s="17"/>
    </row>
    <row r="15" spans="1:12">
      <c r="B15" s="72"/>
      <c r="C15" s="16"/>
      <c r="D15" s="17"/>
    </row>
    <row r="16" spans="1:12">
      <c r="B16" s="72"/>
      <c r="C16" s="16"/>
      <c r="D16" s="17"/>
    </row>
    <row r="17" spans="2:4">
      <c r="B17" s="72"/>
      <c r="C17" s="16"/>
      <c r="D17" s="17"/>
    </row>
    <row r="18" spans="2:4">
      <c r="B18" s="72"/>
      <c r="C18" s="16"/>
      <c r="D18" s="17"/>
    </row>
    <row r="19" spans="2:4">
      <c r="B19" s="72"/>
      <c r="C19" s="16"/>
      <c r="D19" s="17"/>
    </row>
    <row r="20" spans="2:4">
      <c r="B20" s="72"/>
      <c r="C20" s="16"/>
      <c r="D20" s="17"/>
    </row>
    <row r="21" spans="2:4">
      <c r="B21" s="72"/>
      <c r="C21" s="16"/>
      <c r="D21" s="17"/>
    </row>
    <row r="22" spans="2:4">
      <c r="B22" s="72"/>
      <c r="C22" s="16"/>
      <c r="D22" s="17"/>
    </row>
    <row r="23" spans="2:4">
      <c r="B23" s="72"/>
      <c r="C23" s="16"/>
      <c r="D23" s="17"/>
    </row>
    <row r="24" spans="2:4">
      <c r="B24" s="72"/>
      <c r="C24" s="16"/>
      <c r="D24" s="17"/>
    </row>
    <row r="25" spans="2:4">
      <c r="B25" s="72"/>
      <c r="C25" s="16"/>
      <c r="D25" s="17"/>
    </row>
    <row r="26" spans="2:4">
      <c r="B26" s="72"/>
      <c r="C26" s="16"/>
      <c r="D26" s="17"/>
    </row>
    <row r="27" spans="2:4">
      <c r="B27" s="72"/>
      <c r="C27" s="16"/>
      <c r="D27" s="17"/>
    </row>
    <row r="28" spans="2:4">
      <c r="B28" s="72"/>
      <c r="C28" s="16"/>
      <c r="D28" s="17"/>
    </row>
    <row r="29" spans="2:4">
      <c r="B29" s="72"/>
      <c r="C29" s="16"/>
      <c r="D29" s="17"/>
    </row>
    <row r="30" spans="2:4">
      <c r="B30" s="72"/>
      <c r="C30" s="16"/>
      <c r="D30" s="17"/>
    </row>
    <row r="31" spans="2:4">
      <c r="B31" s="72"/>
      <c r="C31" s="16"/>
      <c r="D31" s="17"/>
    </row>
    <row r="32" spans="2:4">
      <c r="B32" s="72"/>
      <c r="C32" s="16"/>
      <c r="D32" s="17"/>
    </row>
    <row r="33" spans="2:4">
      <c r="B33" s="72"/>
      <c r="C33" s="16"/>
      <c r="D33" s="17"/>
    </row>
    <row r="34" spans="2:4">
      <c r="B34" s="72"/>
      <c r="C34" s="16"/>
      <c r="D34" s="17"/>
    </row>
    <row r="35" spans="2:4">
      <c r="B35" s="72"/>
      <c r="C35" s="16"/>
      <c r="D35" s="17"/>
    </row>
    <row r="36" spans="2:4">
      <c r="B36" s="72"/>
      <c r="C36" s="16"/>
      <c r="D36" s="17"/>
    </row>
    <row r="37" spans="2:4">
      <c r="B37" s="72"/>
      <c r="C37" s="16"/>
      <c r="D37" s="17"/>
    </row>
    <row r="38" spans="2:4">
      <c r="B38" s="72"/>
      <c r="C38" s="16"/>
      <c r="D38" s="17"/>
    </row>
    <row r="39" spans="2:4">
      <c r="B39" s="72"/>
      <c r="C39" s="16"/>
      <c r="D39" s="17"/>
    </row>
    <row r="40" spans="2:4">
      <c r="B40" s="72"/>
      <c r="C40" s="16"/>
      <c r="D40" s="17"/>
    </row>
    <row r="41" spans="2:4">
      <c r="B41" s="72"/>
      <c r="C41" s="16"/>
      <c r="D41" s="17"/>
    </row>
    <row r="42" spans="2:4">
      <c r="B42" s="72"/>
      <c r="C42" s="16"/>
      <c r="D42" s="17"/>
    </row>
    <row r="43" spans="2:4">
      <c r="B43" s="72"/>
      <c r="C43" s="16"/>
      <c r="D43" s="17"/>
    </row>
    <row r="44" spans="2:4">
      <c r="B44" s="72"/>
      <c r="C44" s="16"/>
      <c r="D44" s="17"/>
    </row>
    <row r="45" spans="2:4">
      <c r="B45" s="72"/>
      <c r="C45" s="16"/>
      <c r="D45" s="17"/>
    </row>
    <row r="46" spans="2:4">
      <c r="B46" s="72"/>
      <c r="C46" s="16"/>
      <c r="D46" s="17"/>
    </row>
    <row r="47" spans="2:4">
      <c r="B47" s="72"/>
      <c r="C47" s="16"/>
      <c r="D47" s="17"/>
    </row>
    <row r="48" spans="2:4">
      <c r="B48" s="72"/>
      <c r="C48" s="16"/>
      <c r="D48" s="17"/>
    </row>
    <row r="49" spans="2:4">
      <c r="B49" s="72"/>
      <c r="C49" s="16"/>
      <c r="D49" s="17"/>
    </row>
    <row r="50" spans="2:4">
      <c r="B50" s="72"/>
      <c r="C50" s="16"/>
      <c r="D50" s="17"/>
    </row>
    <row r="51" spans="2:4">
      <c r="B51" s="72"/>
      <c r="C51" s="16"/>
      <c r="D51" s="17"/>
    </row>
    <row r="52" spans="2:4">
      <c r="B52" s="72"/>
      <c r="C52" s="16"/>
      <c r="D52" s="17"/>
    </row>
    <row r="53" spans="2:4">
      <c r="B53" s="72"/>
      <c r="C53" s="16"/>
      <c r="D53" s="17"/>
    </row>
    <row r="54" spans="2:4">
      <c r="B54" s="72"/>
      <c r="C54" s="16"/>
      <c r="D54" s="17"/>
    </row>
    <row r="55" spans="2:4">
      <c r="B55" s="72"/>
      <c r="C55" s="16"/>
      <c r="D55" s="17"/>
    </row>
    <row r="56" spans="2:4">
      <c r="B56" s="72"/>
      <c r="C56" s="16"/>
      <c r="D56" s="17"/>
    </row>
    <row r="57" spans="2:4">
      <c r="B57" s="72"/>
      <c r="C57" s="16"/>
      <c r="D57" s="17"/>
    </row>
    <row r="58" spans="2:4">
      <c r="B58" s="72"/>
      <c r="C58" s="16"/>
      <c r="D58" s="17"/>
    </row>
    <row r="59" spans="2:4">
      <c r="B59" s="72"/>
      <c r="C59" s="16"/>
      <c r="D59" s="17"/>
    </row>
    <row r="60" spans="2:4">
      <c r="B60" s="72"/>
      <c r="C60" s="16"/>
      <c r="D60" s="17"/>
    </row>
    <row r="61" spans="2:4">
      <c r="B61" s="72"/>
      <c r="C61" s="16"/>
      <c r="D61" s="17"/>
    </row>
    <row r="62" spans="2:4">
      <c r="B62" s="72"/>
      <c r="C62" s="16"/>
      <c r="D62" s="17"/>
    </row>
    <row r="63" spans="2:4">
      <c r="B63" s="72"/>
      <c r="C63" s="16"/>
      <c r="D63" s="17"/>
    </row>
    <row r="64" spans="2:4">
      <c r="B64" s="72"/>
      <c r="C64" s="16"/>
      <c r="D64" s="17"/>
    </row>
    <row r="65" spans="2:4">
      <c r="B65" s="72"/>
      <c r="C65" s="16"/>
      <c r="D65" s="17"/>
    </row>
    <row r="66" spans="2:4">
      <c r="B66" s="72"/>
      <c r="C66" s="16"/>
      <c r="D66" s="17"/>
    </row>
    <row r="67" spans="2:4">
      <c r="B67" s="72"/>
      <c r="C67" s="16"/>
      <c r="D67" s="17"/>
    </row>
    <row r="68" spans="2:4">
      <c r="B68" s="72"/>
      <c r="C68" s="16"/>
      <c r="D68" s="17"/>
    </row>
    <row r="69" spans="2:4">
      <c r="B69" s="72"/>
      <c r="C69" s="16"/>
      <c r="D69" s="17"/>
    </row>
    <row r="70" spans="2:4">
      <c r="B70" s="72"/>
      <c r="C70" s="16"/>
      <c r="D70" s="17"/>
    </row>
    <row r="71" spans="2:4">
      <c r="B71" s="72"/>
      <c r="C71" s="16"/>
      <c r="D71" s="17"/>
    </row>
    <row r="72" spans="2:4">
      <c r="B72" s="72"/>
      <c r="C72" s="16"/>
      <c r="D72" s="17"/>
    </row>
    <row r="73" spans="2:4">
      <c r="B73" s="72"/>
      <c r="C73" s="16"/>
      <c r="D73" s="17"/>
    </row>
    <row r="74" spans="2:4">
      <c r="B74" s="72"/>
      <c r="C74" s="16"/>
      <c r="D74" s="17"/>
    </row>
    <row r="75" spans="2:4">
      <c r="B75" s="72"/>
      <c r="C75" s="16"/>
      <c r="D75" s="17"/>
    </row>
    <row r="76" spans="2:4">
      <c r="B76" s="72"/>
      <c r="C76" s="16"/>
      <c r="D76" s="17"/>
    </row>
    <row r="77" spans="2:4">
      <c r="B77" s="72"/>
      <c r="C77" s="16"/>
      <c r="D77" s="17"/>
    </row>
    <row r="78" spans="2:4">
      <c r="B78" s="72"/>
      <c r="C78" s="16"/>
      <c r="D78" s="17"/>
    </row>
    <row r="79" spans="2:4">
      <c r="B79" s="72"/>
      <c r="C79" s="16"/>
      <c r="D79" s="17"/>
    </row>
    <row r="80" spans="2:4">
      <c r="B80" s="72"/>
      <c r="C80" s="16"/>
      <c r="D80" s="17"/>
    </row>
    <row r="81" spans="2:4">
      <c r="B81" s="72"/>
      <c r="C81" s="16"/>
      <c r="D81" s="17"/>
    </row>
    <row r="82" spans="2:4">
      <c r="B82" s="72"/>
      <c r="C82" s="16"/>
      <c r="D82" s="17"/>
    </row>
    <row r="83" spans="2:4">
      <c r="B83" s="72"/>
      <c r="C83" s="16"/>
      <c r="D83" s="17"/>
    </row>
    <row r="84" spans="2:4">
      <c r="B84" s="72"/>
      <c r="C84" s="16"/>
      <c r="D84" s="17"/>
    </row>
    <row r="85" spans="2:4">
      <c r="B85" s="72"/>
      <c r="C85" s="16"/>
      <c r="D85" s="17"/>
    </row>
    <row r="86" spans="2:4">
      <c r="B86" s="72"/>
      <c r="C86" s="16"/>
      <c r="D86" s="17"/>
    </row>
    <row r="87" spans="2:4">
      <c r="B87" s="72"/>
      <c r="C87" s="16"/>
      <c r="D87" s="17"/>
    </row>
    <row r="88" spans="2:4">
      <c r="B88" s="72"/>
      <c r="C88" s="16"/>
      <c r="D88" s="17"/>
    </row>
    <row r="89" spans="2:4">
      <c r="B89" s="72"/>
      <c r="C89" s="16"/>
      <c r="D89" s="17"/>
    </row>
    <row r="90" spans="2:4">
      <c r="B90" s="72"/>
      <c r="C90" s="16"/>
      <c r="D90" s="17"/>
    </row>
    <row r="91" spans="2:4">
      <c r="B91" s="72"/>
      <c r="C91" s="16"/>
      <c r="D91" s="17"/>
    </row>
    <row r="92" spans="2:4">
      <c r="B92" s="72"/>
      <c r="C92" s="16"/>
      <c r="D92" s="17"/>
    </row>
    <row r="93" spans="2:4">
      <c r="B93" s="72"/>
      <c r="C93" s="16"/>
      <c r="D93" s="17"/>
    </row>
    <row r="94" spans="2:4">
      <c r="B94" s="72"/>
      <c r="C94" s="16"/>
      <c r="D94" s="17"/>
    </row>
    <row r="95" spans="2:4">
      <c r="B95" s="72"/>
      <c r="C95" s="16"/>
      <c r="D95" s="17"/>
    </row>
    <row r="96" spans="2:4">
      <c r="B96" s="72"/>
      <c r="C96" s="16"/>
      <c r="D96" s="17"/>
    </row>
    <row r="97" spans="2:4">
      <c r="B97" s="72"/>
      <c r="C97" s="16"/>
      <c r="D97" s="17"/>
    </row>
    <row r="98" spans="2:4">
      <c r="B98" s="72"/>
      <c r="C98" s="16"/>
      <c r="D98" s="17"/>
    </row>
    <row r="99" spans="2:4">
      <c r="B99" s="72"/>
      <c r="C99" s="16"/>
      <c r="D99" s="17"/>
    </row>
    <row r="100" spans="2:4">
      <c r="B100" s="72"/>
      <c r="C100" s="16"/>
      <c r="D100" s="17"/>
    </row>
    <row r="101" spans="2:4">
      <c r="B101" s="72"/>
      <c r="C101" s="16"/>
      <c r="D101" s="17"/>
    </row>
    <row r="102" spans="2:4">
      <c r="B102" s="72"/>
      <c r="C102" s="16"/>
      <c r="D102" s="17"/>
    </row>
    <row r="103" spans="2:4">
      <c r="B103" s="72"/>
      <c r="C103" s="16"/>
      <c r="D103" s="17"/>
    </row>
    <row r="104" spans="2:4">
      <c r="B104" s="72"/>
      <c r="C104" s="16"/>
      <c r="D104" s="17"/>
    </row>
    <row r="105" spans="2:4">
      <c r="B105" s="72"/>
      <c r="C105" s="16"/>
      <c r="D105" s="17"/>
    </row>
    <row r="106" spans="2:4">
      <c r="B106" s="72"/>
      <c r="C106" s="16"/>
      <c r="D106" s="17"/>
    </row>
    <row r="107" spans="2:4">
      <c r="B107" s="72"/>
      <c r="C107" s="16"/>
      <c r="D107" s="17"/>
    </row>
    <row r="108" spans="2:4">
      <c r="B108" s="72"/>
      <c r="C108" s="16"/>
      <c r="D108" s="17"/>
    </row>
    <row r="109" spans="2:4">
      <c r="B109" s="72"/>
      <c r="C109" s="16"/>
      <c r="D109" s="17"/>
    </row>
    <row r="110" spans="2:4">
      <c r="B110" s="72"/>
      <c r="C110" s="16"/>
      <c r="D110" s="17"/>
    </row>
    <row r="111" spans="2:4">
      <c r="B111" s="72"/>
      <c r="C111" s="16"/>
      <c r="D111" s="17"/>
    </row>
    <row r="112" spans="2:4">
      <c r="B112" s="72"/>
      <c r="C112" s="16"/>
      <c r="D112" s="17"/>
    </row>
    <row r="113" spans="2:4">
      <c r="B113" s="72"/>
      <c r="C113" s="16"/>
      <c r="D113" s="17"/>
    </row>
    <row r="114" spans="2:4">
      <c r="B114" s="72"/>
      <c r="C114" s="16"/>
      <c r="D114" s="17"/>
    </row>
    <row r="115" spans="2:4">
      <c r="B115" s="72"/>
      <c r="C115" s="16"/>
      <c r="D115" s="17"/>
    </row>
    <row r="116" spans="2:4">
      <c r="B116" s="72"/>
      <c r="C116" s="16"/>
      <c r="D116" s="17"/>
    </row>
    <row r="117" spans="2:4">
      <c r="B117" s="72"/>
      <c r="C117" s="16"/>
      <c r="D117" s="17"/>
    </row>
    <row r="118" spans="2:4">
      <c r="B118" s="72"/>
      <c r="C118" s="16"/>
      <c r="D118" s="17"/>
    </row>
    <row r="119" spans="2:4">
      <c r="B119" s="72"/>
      <c r="C119" s="16"/>
      <c r="D119" s="17"/>
    </row>
    <row r="120" spans="2:4">
      <c r="B120" s="72"/>
      <c r="C120" s="16"/>
      <c r="D120" s="17"/>
    </row>
    <row r="121" spans="2:4">
      <c r="B121" s="72"/>
      <c r="C121" s="16"/>
      <c r="D121" s="17"/>
    </row>
    <row r="122" spans="2:4">
      <c r="B122" s="72"/>
      <c r="C122" s="16"/>
      <c r="D122" s="17"/>
    </row>
    <row r="123" spans="2:4">
      <c r="B123" s="72"/>
      <c r="C123" s="16"/>
      <c r="D123" s="17"/>
    </row>
    <row r="124" spans="2:4">
      <c r="B124" s="72"/>
      <c r="C124" s="16"/>
      <c r="D124" s="17"/>
    </row>
    <row r="125" spans="2:4">
      <c r="B125" s="72"/>
      <c r="C125" s="16"/>
      <c r="D125" s="17"/>
    </row>
    <row r="126" spans="2:4">
      <c r="B126" s="72"/>
      <c r="C126" s="16"/>
      <c r="D126" s="17"/>
    </row>
    <row r="127" spans="2:4">
      <c r="B127" s="72"/>
      <c r="C127" s="16"/>
      <c r="D127" s="17"/>
    </row>
    <row r="128" spans="2:4">
      <c r="B128" s="72"/>
      <c r="C128" s="16"/>
      <c r="D128" s="17"/>
    </row>
    <row r="129" spans="2:4">
      <c r="B129" s="72"/>
      <c r="C129" s="16"/>
      <c r="D129" s="17"/>
    </row>
    <row r="130" spans="2:4">
      <c r="B130" s="72"/>
      <c r="C130" s="16"/>
      <c r="D130" s="17"/>
    </row>
    <row r="131" spans="2:4">
      <c r="B131" s="72"/>
      <c r="C131" s="16"/>
      <c r="D131" s="17"/>
    </row>
    <row r="132" spans="2:4">
      <c r="B132" s="72"/>
      <c r="C132" s="16"/>
      <c r="D132" s="17"/>
    </row>
    <row r="133" spans="2:4">
      <c r="B133" s="72"/>
      <c r="C133" s="16"/>
      <c r="D133" s="17"/>
    </row>
    <row r="134" spans="2:4">
      <c r="B134" s="72"/>
      <c r="C134" s="16"/>
      <c r="D134" s="17"/>
    </row>
    <row r="135" spans="2:4">
      <c r="B135" s="72"/>
      <c r="C135" s="16"/>
      <c r="D135" s="17"/>
    </row>
    <row r="136" spans="2:4">
      <c r="B136" s="72"/>
      <c r="C136" s="16"/>
      <c r="D136" s="17"/>
    </row>
    <row r="137" spans="2:4">
      <c r="B137" s="72"/>
      <c r="C137" s="16"/>
      <c r="D137" s="17"/>
    </row>
    <row r="138" spans="2:4">
      <c r="B138" s="72"/>
      <c r="C138" s="16"/>
      <c r="D138" s="17"/>
    </row>
    <row r="139" spans="2:4">
      <c r="B139" s="72"/>
      <c r="C139" s="16"/>
      <c r="D139" s="17"/>
    </row>
    <row r="140" spans="2:4">
      <c r="B140" s="72"/>
      <c r="C140" s="16"/>
      <c r="D140" s="17"/>
    </row>
    <row r="141" spans="2:4">
      <c r="B141" s="72"/>
      <c r="C141" s="16"/>
      <c r="D141" s="17"/>
    </row>
    <row r="142" spans="2:4">
      <c r="B142" s="72"/>
      <c r="C142" s="16"/>
      <c r="D142" s="17"/>
    </row>
    <row r="143" spans="2:4">
      <c r="B143" s="72"/>
      <c r="C143" s="16"/>
      <c r="D143" s="17"/>
    </row>
    <row r="144" spans="2:4">
      <c r="B144" s="72"/>
      <c r="C144" s="16"/>
      <c r="D144" s="17"/>
    </row>
    <row r="145" spans="2:4">
      <c r="B145" s="72"/>
      <c r="C145" s="16"/>
      <c r="D145" s="17"/>
    </row>
    <row r="146" spans="2:4">
      <c r="B146" s="72"/>
      <c r="C146" s="16"/>
      <c r="D146" s="17"/>
    </row>
    <row r="147" spans="2:4">
      <c r="B147" s="72"/>
      <c r="C147" s="16"/>
      <c r="D147" s="17"/>
    </row>
    <row r="148" spans="2:4">
      <c r="B148" s="72"/>
      <c r="C148" s="16"/>
      <c r="D148" s="17"/>
    </row>
    <row r="149" spans="2:4">
      <c r="B149" s="72"/>
      <c r="C149" s="16"/>
      <c r="D149" s="17"/>
    </row>
    <row r="150" spans="2:4">
      <c r="B150" s="72"/>
      <c r="C150" s="16"/>
      <c r="D150" s="17"/>
    </row>
    <row r="151" spans="2:4">
      <c r="B151" s="72"/>
      <c r="C151" s="16"/>
      <c r="D151" s="17"/>
    </row>
    <row r="152" spans="2:4">
      <c r="B152" s="72"/>
      <c r="C152" s="16"/>
      <c r="D152" s="17"/>
    </row>
    <row r="153" spans="2:4">
      <c r="B153" s="72"/>
      <c r="C153" s="16"/>
      <c r="D153" s="17"/>
    </row>
    <row r="154" spans="2:4">
      <c r="B154" s="72"/>
      <c r="C154" s="16"/>
      <c r="D154" s="17"/>
    </row>
    <row r="155" spans="2:4">
      <c r="B155" s="72"/>
      <c r="C155" s="16"/>
      <c r="D155" s="17"/>
    </row>
    <row r="156" spans="2:4">
      <c r="B156" s="72"/>
      <c r="C156" s="16"/>
      <c r="D156" s="17"/>
    </row>
    <row r="157" spans="2:4">
      <c r="B157" s="72"/>
      <c r="C157" s="16"/>
      <c r="D157" s="17"/>
    </row>
    <row r="158" spans="2:4">
      <c r="B158" s="72"/>
      <c r="C158" s="16"/>
      <c r="D158" s="17"/>
    </row>
    <row r="159" spans="2:4">
      <c r="B159" s="72"/>
      <c r="C159" s="16"/>
      <c r="D159" s="17"/>
    </row>
    <row r="160" spans="2:4">
      <c r="B160" s="72"/>
      <c r="C160" s="16"/>
      <c r="D160" s="17"/>
    </row>
    <row r="161" spans="2:4">
      <c r="B161" s="72"/>
      <c r="C161" s="16"/>
      <c r="D161" s="17"/>
    </row>
    <row r="162" spans="2:4">
      <c r="B162" s="72"/>
      <c r="C162" s="16"/>
      <c r="D162" s="17"/>
    </row>
    <row r="163" spans="2:4">
      <c r="B163" s="72"/>
      <c r="C163" s="16"/>
      <c r="D163" s="17"/>
    </row>
    <row r="164" spans="2:4">
      <c r="B164" s="72"/>
      <c r="C164" s="16"/>
      <c r="D164" s="17"/>
    </row>
    <row r="165" spans="2:4">
      <c r="B165" s="72"/>
      <c r="C165" s="16"/>
      <c r="D165" s="17"/>
    </row>
    <row r="166" spans="2:4">
      <c r="B166" s="72"/>
      <c r="C166" s="16"/>
      <c r="D166" s="17"/>
    </row>
    <row r="167" spans="2:4">
      <c r="B167" s="72"/>
      <c r="C167" s="16"/>
      <c r="D167" s="17"/>
    </row>
    <row r="168" spans="2:4">
      <c r="B168" s="72"/>
      <c r="C168" s="16"/>
      <c r="D168" s="17"/>
    </row>
    <row r="169" spans="2:4">
      <c r="B169" s="72"/>
      <c r="C169" s="16"/>
      <c r="D169" s="17"/>
    </row>
    <row r="170" spans="2:4">
      <c r="B170" s="72"/>
      <c r="C170" s="16"/>
      <c r="D170" s="17"/>
    </row>
    <row r="171" spans="2:4">
      <c r="B171" s="72"/>
      <c r="C171" s="16"/>
      <c r="D171" s="17"/>
    </row>
    <row r="172" spans="2:4">
      <c r="B172" s="72"/>
      <c r="C172" s="16"/>
      <c r="D172" s="17"/>
    </row>
    <row r="173" spans="2:4">
      <c r="B173" s="72"/>
      <c r="C173" s="16"/>
      <c r="D173" s="17"/>
    </row>
    <row r="174" spans="2:4">
      <c r="B174" s="72"/>
      <c r="C174" s="16"/>
      <c r="D174" s="17"/>
    </row>
    <row r="175" spans="2:4">
      <c r="B175" s="72"/>
      <c r="C175" s="16"/>
      <c r="D175" s="17"/>
    </row>
    <row r="176" spans="2:4">
      <c r="B176" s="72"/>
      <c r="C176" s="16"/>
      <c r="D176" s="17"/>
    </row>
    <row r="177" spans="2:4">
      <c r="B177" s="72"/>
      <c r="C177" s="16"/>
      <c r="D177" s="17"/>
    </row>
    <row r="178" spans="2:4">
      <c r="B178" s="72"/>
      <c r="C178" s="16"/>
      <c r="D178" s="17"/>
    </row>
    <row r="179" spans="2:4">
      <c r="B179" s="72"/>
      <c r="C179" s="16"/>
      <c r="D179" s="17"/>
    </row>
    <row r="180" spans="2:4">
      <c r="B180" s="72"/>
      <c r="C180" s="16"/>
      <c r="D180" s="17"/>
    </row>
    <row r="181" spans="2:4">
      <c r="B181" s="72"/>
      <c r="C181" s="16"/>
      <c r="D181" s="17"/>
    </row>
    <row r="182" spans="2:4">
      <c r="B182" s="72"/>
      <c r="C182" s="16"/>
      <c r="D182" s="17"/>
    </row>
    <row r="183" spans="2:4">
      <c r="B183" s="72"/>
      <c r="C183" s="16"/>
      <c r="D183" s="17"/>
    </row>
    <row r="184" spans="2:4">
      <c r="B184" s="72"/>
      <c r="C184" s="16"/>
      <c r="D184" s="17"/>
    </row>
    <row r="185" spans="2:4">
      <c r="B185" s="72"/>
      <c r="C185" s="16"/>
      <c r="D185" s="17"/>
    </row>
    <row r="186" spans="2:4">
      <c r="B186" s="72"/>
      <c r="C186" s="16"/>
      <c r="D186" s="17"/>
    </row>
    <row r="187" spans="2:4">
      <c r="B187" s="72"/>
      <c r="C187" s="16"/>
      <c r="D187" s="17"/>
    </row>
    <row r="188" spans="2:4">
      <c r="B188" s="72"/>
      <c r="C188" s="16"/>
      <c r="D188" s="17"/>
    </row>
    <row r="189" spans="2:4">
      <c r="B189" s="72"/>
      <c r="C189" s="16"/>
      <c r="D189" s="17"/>
    </row>
    <row r="190" spans="2:4">
      <c r="B190" s="72"/>
      <c r="C190" s="16"/>
      <c r="D190" s="17"/>
    </row>
    <row r="191" spans="2:4">
      <c r="B191" s="72"/>
      <c r="C191" s="16"/>
      <c r="D191" s="17"/>
    </row>
    <row r="192" spans="2:4">
      <c r="B192" s="72"/>
      <c r="C192" s="16"/>
      <c r="D192" s="17"/>
    </row>
    <row r="193" spans="2:4">
      <c r="B193" s="72"/>
      <c r="C193" s="16"/>
      <c r="D193" s="17"/>
    </row>
    <row r="194" spans="2:4">
      <c r="B194" s="72"/>
      <c r="C194" s="16"/>
      <c r="D194" s="17"/>
    </row>
    <row r="195" spans="2:4">
      <c r="B195" s="72"/>
      <c r="C195" s="16"/>
      <c r="D195" s="17"/>
    </row>
    <row r="196" spans="2:4">
      <c r="B196" s="72"/>
      <c r="C196" s="16"/>
      <c r="D196" s="17"/>
    </row>
    <row r="197" spans="2:4">
      <c r="B197" s="72"/>
      <c r="C197" s="16"/>
      <c r="D197" s="17"/>
    </row>
    <row r="198" spans="2:4">
      <c r="B198" s="72"/>
      <c r="C198" s="16"/>
      <c r="D198" s="17"/>
    </row>
    <row r="199" spans="2:4">
      <c r="B199" s="72"/>
      <c r="C199" s="16"/>
      <c r="D199" s="17"/>
    </row>
    <row r="200" spans="2:4">
      <c r="B200" s="72"/>
      <c r="C200" s="16"/>
      <c r="D200" s="17"/>
    </row>
    <row r="201" spans="2:4">
      <c r="B201" s="72"/>
      <c r="C201" s="16"/>
      <c r="D201" s="17"/>
    </row>
    <row r="202" spans="2:4">
      <c r="B202" s="72"/>
      <c r="C202" s="16"/>
      <c r="D202" s="17"/>
    </row>
    <row r="203" spans="2:4">
      <c r="B203" s="72"/>
      <c r="C203" s="16"/>
      <c r="D203" s="17"/>
    </row>
    <row r="204" spans="2:4">
      <c r="B204" s="72"/>
      <c r="C204" s="16"/>
      <c r="D204" s="17"/>
    </row>
    <row r="205" spans="2:4">
      <c r="B205" s="72"/>
      <c r="C205" s="16"/>
      <c r="D205" s="17"/>
    </row>
    <row r="206" spans="2:4">
      <c r="B206" s="72"/>
      <c r="C206" s="16"/>
      <c r="D206" s="17"/>
    </row>
    <row r="207" spans="2:4">
      <c r="B207" s="72"/>
      <c r="C207" s="16"/>
      <c r="D207" s="17"/>
    </row>
    <row r="208" spans="2:4">
      <c r="B208" s="72"/>
      <c r="C208" s="16"/>
      <c r="D208" s="17"/>
    </row>
    <row r="209" spans="2:4">
      <c r="B209" s="72"/>
      <c r="C209" s="16"/>
      <c r="D209" s="17"/>
    </row>
    <row r="210" spans="2:4">
      <c r="B210" s="72"/>
      <c r="C210" s="16"/>
      <c r="D210" s="17"/>
    </row>
    <row r="211" spans="2:4">
      <c r="B211" s="72"/>
      <c r="C211" s="16"/>
      <c r="D211" s="17"/>
    </row>
    <row r="212" spans="2:4">
      <c r="B212" s="72"/>
      <c r="C212" s="16"/>
      <c r="D212" s="17"/>
    </row>
    <row r="213" spans="2:4">
      <c r="B213" s="72"/>
      <c r="C213" s="16"/>
      <c r="D213" s="17"/>
    </row>
    <row r="214" spans="2:4">
      <c r="B214" s="72"/>
      <c r="C214" s="16"/>
      <c r="D214" s="17"/>
    </row>
    <row r="215" spans="2:4">
      <c r="B215" s="72"/>
      <c r="C215" s="16"/>
      <c r="D215" s="17"/>
    </row>
    <row r="216" spans="2:4">
      <c r="B216" s="72"/>
      <c r="C216" s="16"/>
      <c r="D216" s="17"/>
    </row>
    <row r="217" spans="2:4">
      <c r="B217" s="72"/>
      <c r="C217" s="16"/>
      <c r="D217" s="17"/>
    </row>
    <row r="218" spans="2:4">
      <c r="B218" s="72"/>
      <c r="C218" s="16"/>
      <c r="D218" s="17"/>
    </row>
    <row r="219" spans="2:4">
      <c r="B219" s="72"/>
      <c r="C219" s="16"/>
      <c r="D219" s="17"/>
    </row>
    <row r="220" spans="2:4">
      <c r="B220" s="72"/>
      <c r="C220" s="16"/>
      <c r="D220" s="17"/>
    </row>
    <row r="221" spans="2:4">
      <c r="B221" s="72"/>
      <c r="C221" s="16"/>
      <c r="D221" s="17"/>
    </row>
    <row r="222" spans="2:4">
      <c r="B222" s="72"/>
      <c r="C222" s="16"/>
      <c r="D222" s="17"/>
    </row>
    <row r="223" spans="2:4">
      <c r="B223" s="72"/>
      <c r="C223" s="16"/>
      <c r="D223" s="17"/>
    </row>
    <row r="224" spans="2:4">
      <c r="B224" s="72"/>
      <c r="C224" s="16"/>
      <c r="D224" s="17"/>
    </row>
    <row r="225" spans="2:4">
      <c r="B225" s="72"/>
      <c r="C225" s="16"/>
      <c r="D225" s="17"/>
    </row>
    <row r="226" spans="2:4">
      <c r="B226" s="72"/>
      <c r="C226" s="16"/>
      <c r="D226" s="17"/>
    </row>
    <row r="227" spans="2:4">
      <c r="B227" s="72"/>
      <c r="C227" s="16"/>
      <c r="D227" s="17"/>
    </row>
    <row r="228" spans="2:4">
      <c r="B228" s="72"/>
      <c r="C228" s="16"/>
      <c r="D228" s="17"/>
    </row>
    <row r="229" spans="2:4">
      <c r="B229" s="72"/>
      <c r="C229" s="16"/>
      <c r="D229" s="17"/>
    </row>
    <row r="230" spans="2:4">
      <c r="B230" s="72"/>
      <c r="C230" s="16"/>
      <c r="D230" s="17"/>
    </row>
    <row r="231" spans="2:4">
      <c r="B231" s="72"/>
      <c r="C231" s="16"/>
      <c r="D231" s="17"/>
    </row>
    <row r="232" spans="2:4">
      <c r="B232" s="72"/>
      <c r="C232" s="16"/>
      <c r="D232" s="17"/>
    </row>
    <row r="233" spans="2:4">
      <c r="B233" s="72"/>
      <c r="C233" s="16"/>
      <c r="D233" s="17"/>
    </row>
    <row r="234" spans="2:4">
      <c r="B234" s="72"/>
      <c r="C234" s="16"/>
      <c r="D234" s="17"/>
    </row>
    <row r="235" spans="2:4">
      <c r="B235" s="72"/>
      <c r="C235" s="16"/>
      <c r="D235" s="17"/>
    </row>
    <row r="236" spans="2:4">
      <c r="B236" s="72"/>
      <c r="C236" s="16"/>
      <c r="D236" s="17"/>
    </row>
    <row r="237" spans="2:4">
      <c r="B237" s="72"/>
      <c r="C237" s="16"/>
      <c r="D237" s="17"/>
    </row>
    <row r="238" spans="2:4">
      <c r="B238" s="72"/>
      <c r="C238" s="16"/>
      <c r="D238" s="17"/>
    </row>
    <row r="239" spans="2:4">
      <c r="B239" s="72"/>
      <c r="C239" s="16"/>
      <c r="D239" s="17"/>
    </row>
    <row r="240" spans="2:4">
      <c r="B240" s="72"/>
      <c r="C240" s="16"/>
      <c r="D240" s="17"/>
    </row>
    <row r="241" spans="2:4">
      <c r="B241" s="72"/>
      <c r="C241" s="16"/>
      <c r="D241" s="17"/>
    </row>
    <row r="242" spans="2:4">
      <c r="B242" s="72"/>
      <c r="C242" s="16"/>
      <c r="D242" s="17"/>
    </row>
    <row r="243" spans="2:4">
      <c r="B243" s="72"/>
      <c r="C243" s="16"/>
      <c r="D243" s="17"/>
    </row>
    <row r="244" spans="2:4">
      <c r="B244" s="72"/>
      <c r="C244" s="16"/>
      <c r="D244" s="17"/>
    </row>
    <row r="245" spans="2:4">
      <c r="B245" s="72"/>
      <c r="C245" s="16"/>
      <c r="D245" s="17"/>
    </row>
    <row r="246" spans="2:4">
      <c r="B246" s="72"/>
      <c r="C246" s="16"/>
      <c r="D246" s="17"/>
    </row>
    <row r="247" spans="2:4">
      <c r="B247" s="72"/>
      <c r="C247" s="16"/>
      <c r="D247" s="17"/>
    </row>
    <row r="248" spans="2:4">
      <c r="B248" s="72"/>
      <c r="C248" s="16"/>
      <c r="D248" s="17"/>
    </row>
    <row r="249" spans="2:4">
      <c r="B249" s="72"/>
      <c r="C249" s="16"/>
      <c r="D249" s="17"/>
    </row>
    <row r="250" spans="2:4">
      <c r="B250" s="72"/>
      <c r="C250" s="16"/>
      <c r="D250" s="17"/>
    </row>
    <row r="251" spans="2:4">
      <c r="B251" s="72"/>
      <c r="C251" s="16"/>
      <c r="D251" s="17"/>
    </row>
    <row r="252" spans="2:4">
      <c r="B252" s="72"/>
      <c r="C252" s="16"/>
      <c r="D252" s="17"/>
    </row>
    <row r="253" spans="2:4">
      <c r="B253" s="72"/>
      <c r="C253" s="16"/>
      <c r="D253" s="17"/>
    </row>
    <row r="254" spans="2:4">
      <c r="B254" s="72"/>
      <c r="C254" s="16"/>
      <c r="D254" s="17"/>
    </row>
    <row r="255" spans="2:4">
      <c r="B255" s="72"/>
      <c r="C255" s="16"/>
      <c r="D255" s="17"/>
    </row>
    <row r="256" spans="2:4">
      <c r="B256" s="72"/>
      <c r="C256" s="16"/>
      <c r="D256" s="17"/>
    </row>
    <row r="257" spans="2:4">
      <c r="B257" s="72"/>
      <c r="C257" s="16"/>
      <c r="D257" s="17"/>
    </row>
    <row r="258" spans="2:4">
      <c r="B258" s="72"/>
      <c r="C258" s="16"/>
      <c r="D258" s="17"/>
    </row>
    <row r="259" spans="2:4">
      <c r="B259" s="72"/>
      <c r="C259" s="16"/>
      <c r="D259" s="17"/>
    </row>
    <row r="260" spans="2:4">
      <c r="B260" s="72"/>
      <c r="C260" s="16"/>
      <c r="D260" s="17"/>
    </row>
    <row r="261" spans="2:4">
      <c r="B261" s="72"/>
      <c r="C261" s="16"/>
      <c r="D261" s="17"/>
    </row>
    <row r="262" spans="2:4">
      <c r="B262" s="72"/>
      <c r="C262" s="16"/>
      <c r="D262" s="17"/>
    </row>
    <row r="263" spans="2:4">
      <c r="B263" s="72"/>
      <c r="C263" s="16"/>
      <c r="D263" s="17"/>
    </row>
    <row r="264" spans="2:4">
      <c r="B264" s="72"/>
      <c r="C264" s="16"/>
      <c r="D264" s="17"/>
    </row>
    <row r="265" spans="2:4">
      <c r="B265" s="72"/>
      <c r="C265" s="16"/>
      <c r="D265" s="17"/>
    </row>
    <row r="266" spans="2:4">
      <c r="B266" s="72"/>
      <c r="C266" s="16"/>
      <c r="D266" s="17"/>
    </row>
    <row r="267" spans="2:4">
      <c r="B267" s="72"/>
      <c r="C267" s="16"/>
      <c r="D267" s="17"/>
    </row>
    <row r="268" spans="2:4">
      <c r="B268" s="72"/>
      <c r="C268" s="16"/>
      <c r="D268" s="17"/>
    </row>
    <row r="269" spans="2:4">
      <c r="B269" s="72"/>
      <c r="C269" s="16"/>
      <c r="D269" s="17"/>
    </row>
    <row r="270" spans="2:4">
      <c r="B270" s="72"/>
      <c r="C270" s="16"/>
      <c r="D270" s="17"/>
    </row>
    <row r="271" spans="2:4">
      <c r="B271" s="72"/>
      <c r="C271" s="16"/>
      <c r="D271" s="17"/>
    </row>
    <row r="272" spans="2:4">
      <c r="B272" s="72"/>
      <c r="C272" s="16"/>
      <c r="D272" s="17"/>
    </row>
    <row r="273" spans="2:4">
      <c r="B273" s="72"/>
      <c r="C273" s="16"/>
      <c r="D273" s="17"/>
    </row>
    <row r="274" spans="2:4">
      <c r="B274" s="72"/>
      <c r="C274" s="16"/>
      <c r="D274" s="17"/>
    </row>
    <row r="275" spans="2:4">
      <c r="B275" s="72"/>
      <c r="C275" s="16"/>
      <c r="D275" s="17"/>
    </row>
    <row r="276" spans="2:4">
      <c r="B276" s="72"/>
      <c r="C276" s="16"/>
      <c r="D276" s="17"/>
    </row>
    <row r="277" spans="2:4">
      <c r="B277" s="72"/>
      <c r="C277" s="16"/>
      <c r="D277" s="17"/>
    </row>
    <row r="278" spans="2:4">
      <c r="B278" s="72"/>
      <c r="C278" s="16"/>
      <c r="D278" s="17"/>
    </row>
    <row r="279" spans="2:4">
      <c r="B279" s="72"/>
      <c r="C279" s="16"/>
      <c r="D279" s="17"/>
    </row>
    <row r="280" spans="2:4">
      <c r="B280" s="72"/>
      <c r="C280" s="16"/>
      <c r="D280" s="17"/>
    </row>
    <row r="281" spans="2:4">
      <c r="B281" s="72"/>
      <c r="C281" s="16"/>
      <c r="D281" s="17"/>
    </row>
    <row r="282" spans="2:4">
      <c r="B282" s="72"/>
      <c r="C282" s="16"/>
      <c r="D282" s="17"/>
    </row>
    <row r="283" spans="2:4">
      <c r="B283" s="72"/>
      <c r="C283" s="16"/>
      <c r="D283" s="17"/>
    </row>
    <row r="284" spans="2:4">
      <c r="B284" s="72"/>
      <c r="C284" s="16"/>
      <c r="D284" s="17"/>
    </row>
    <row r="285" spans="2:4">
      <c r="B285" s="72"/>
      <c r="C285" s="16"/>
      <c r="D285" s="17"/>
    </row>
    <row r="286" spans="2:4">
      <c r="B286" s="72"/>
      <c r="C286" s="16"/>
      <c r="D286" s="17"/>
    </row>
    <row r="287" spans="2:4">
      <c r="B287" s="72"/>
      <c r="C287" s="16"/>
      <c r="D287" s="17"/>
    </row>
    <row r="288" spans="2:4">
      <c r="B288" s="72"/>
      <c r="C288" s="16"/>
      <c r="D288" s="17"/>
    </row>
    <row r="289" spans="2:4">
      <c r="B289" s="72"/>
      <c r="C289" s="16"/>
      <c r="D289" s="17"/>
    </row>
    <row r="290" spans="2:4">
      <c r="B290" s="72"/>
      <c r="C290" s="16"/>
      <c r="D290" s="17"/>
    </row>
    <row r="291" spans="2:4">
      <c r="B291" s="72"/>
      <c r="C291" s="16"/>
      <c r="D291" s="17"/>
    </row>
    <row r="292" spans="2:4">
      <c r="B292" s="72"/>
      <c r="C292" s="16"/>
      <c r="D292" s="17"/>
    </row>
    <row r="293" spans="2:4">
      <c r="B293" s="72"/>
      <c r="C293" s="16"/>
      <c r="D293" s="17"/>
    </row>
    <row r="294" spans="2:4">
      <c r="B294" s="72"/>
      <c r="C294" s="16"/>
      <c r="D294" s="17"/>
    </row>
    <row r="295" spans="2:4">
      <c r="B295" s="72"/>
      <c r="C295" s="16"/>
      <c r="D295" s="17"/>
    </row>
    <row r="296" spans="2:4">
      <c r="B296" s="72"/>
      <c r="C296" s="16"/>
      <c r="D296" s="17"/>
    </row>
    <row r="297" spans="2:4">
      <c r="B297" s="72"/>
      <c r="C297" s="16"/>
      <c r="D297" s="17"/>
    </row>
    <row r="298" spans="2:4">
      <c r="B298" s="72"/>
      <c r="C298" s="16"/>
      <c r="D298" s="17"/>
    </row>
    <row r="299" spans="2:4">
      <c r="B299" s="72"/>
      <c r="C299" s="16"/>
      <c r="D299" s="17"/>
    </row>
    <row r="300" spans="2:4">
      <c r="B300" s="72"/>
      <c r="C300" s="16"/>
      <c r="D300" s="17"/>
    </row>
    <row r="301" spans="2:4">
      <c r="B301" s="72"/>
      <c r="C301" s="16"/>
      <c r="D301" s="17"/>
    </row>
    <row r="302" spans="2:4">
      <c r="B302" s="72"/>
      <c r="C302" s="16"/>
      <c r="D302" s="17"/>
    </row>
    <row r="303" spans="2:4">
      <c r="B303" s="72"/>
      <c r="C303" s="16"/>
      <c r="D303" s="17"/>
    </row>
    <row r="304" spans="2:4">
      <c r="B304" s="72"/>
      <c r="C304" s="16"/>
      <c r="D304" s="17"/>
    </row>
    <row r="305" spans="2:4">
      <c r="B305" s="72"/>
      <c r="C305" s="16"/>
      <c r="D305" s="17"/>
    </row>
    <row r="306" spans="2:4">
      <c r="B306" s="72"/>
      <c r="C306" s="16"/>
      <c r="D306" s="17"/>
    </row>
    <row r="307" spans="2:4">
      <c r="B307" s="72"/>
      <c r="C307" s="16"/>
      <c r="D307" s="17"/>
    </row>
    <row r="308" spans="2:4">
      <c r="B308" s="72"/>
      <c r="C308" s="16"/>
      <c r="D308" s="17"/>
    </row>
    <row r="309" spans="2:4">
      <c r="B309" s="72"/>
      <c r="C309" s="16"/>
      <c r="D309" s="17"/>
    </row>
    <row r="310" spans="2:4">
      <c r="B310" s="72"/>
      <c r="C310" s="16"/>
      <c r="D310" s="17"/>
    </row>
    <row r="311" spans="2:4">
      <c r="B311" s="72"/>
      <c r="C311" s="16"/>
      <c r="D311" s="17"/>
    </row>
    <row r="312" spans="2:4">
      <c r="B312" s="72"/>
      <c r="C312" s="16"/>
      <c r="D312" s="17"/>
    </row>
    <row r="313" spans="2:4">
      <c r="B313" s="72"/>
      <c r="C313" s="16"/>
      <c r="D313" s="17"/>
    </row>
    <row r="314" spans="2:4">
      <c r="B314" s="72"/>
      <c r="C314" s="16"/>
      <c r="D314" s="17"/>
    </row>
    <row r="315" spans="2:4">
      <c r="B315" s="72"/>
      <c r="C315" s="16"/>
      <c r="D315" s="17"/>
    </row>
    <row r="316" spans="2:4">
      <c r="B316" s="72"/>
      <c r="C316" s="16"/>
      <c r="D316" s="17"/>
    </row>
    <row r="317" spans="2:4">
      <c r="B317" s="72"/>
      <c r="C317" s="16"/>
      <c r="D317" s="17"/>
    </row>
    <row r="318" spans="2:4">
      <c r="B318" s="72"/>
      <c r="C318" s="16"/>
      <c r="D318" s="17"/>
    </row>
    <row r="319" spans="2:4">
      <c r="B319" s="72"/>
      <c r="C319" s="16"/>
      <c r="D319" s="17"/>
    </row>
    <row r="320" spans="2:4">
      <c r="B320" s="72"/>
      <c r="C320" s="16"/>
      <c r="D320" s="17"/>
    </row>
    <row r="321" spans="2:4">
      <c r="B321" s="72"/>
      <c r="C321" s="16"/>
      <c r="D321" s="17"/>
    </row>
    <row r="322" spans="2:4">
      <c r="B322" s="72"/>
      <c r="C322" s="16"/>
      <c r="D322" s="17"/>
    </row>
    <row r="323" spans="2:4">
      <c r="B323" s="72"/>
      <c r="C323" s="16"/>
      <c r="D323" s="17"/>
    </row>
    <row r="324" spans="2:4">
      <c r="B324" s="72"/>
      <c r="C324" s="16"/>
      <c r="D324" s="17"/>
    </row>
    <row r="325" spans="2:4">
      <c r="B325" s="72"/>
      <c r="C325" s="16"/>
      <c r="D325" s="17"/>
    </row>
    <row r="326" spans="2:4">
      <c r="B326" s="72"/>
      <c r="C326" s="16"/>
      <c r="D326" s="17"/>
    </row>
    <row r="327" spans="2:4">
      <c r="B327" s="72"/>
      <c r="C327" s="16"/>
      <c r="D327" s="17"/>
    </row>
    <row r="328" spans="2:4">
      <c r="B328" s="72"/>
      <c r="C328" s="16"/>
      <c r="D328" s="17"/>
    </row>
    <row r="329" spans="2:4">
      <c r="B329" s="72"/>
      <c r="C329" s="16"/>
      <c r="D329" s="17"/>
    </row>
    <row r="330" spans="2:4">
      <c r="B330" s="72"/>
      <c r="C330" s="16"/>
      <c r="D330" s="17"/>
    </row>
    <row r="331" spans="2:4">
      <c r="B331" s="72"/>
      <c r="C331" s="16"/>
      <c r="D331" s="17"/>
    </row>
    <row r="332" spans="2:4">
      <c r="B332" s="72"/>
      <c r="C332" s="16"/>
      <c r="D332" s="17"/>
    </row>
    <row r="333" spans="2:4">
      <c r="B333" s="72"/>
      <c r="C333" s="16"/>
      <c r="D333" s="17"/>
    </row>
    <row r="334" spans="2:4">
      <c r="B334" s="72"/>
      <c r="C334" s="16"/>
      <c r="D334" s="17"/>
    </row>
    <row r="335" spans="2:4">
      <c r="B335" s="72"/>
      <c r="C335" s="16"/>
      <c r="D335" s="17"/>
    </row>
    <row r="336" spans="2:4">
      <c r="B336" s="72"/>
      <c r="C336" s="16"/>
      <c r="D336" s="17"/>
    </row>
    <row r="337" spans="2:4">
      <c r="B337" s="72"/>
      <c r="C337" s="16"/>
      <c r="D337" s="17"/>
    </row>
    <row r="338" spans="2:4">
      <c r="B338" s="72"/>
      <c r="C338" s="16"/>
      <c r="D338" s="17"/>
    </row>
    <row r="339" spans="2:4">
      <c r="B339" s="72"/>
      <c r="C339" s="16"/>
      <c r="D339" s="17"/>
    </row>
    <row r="340" spans="2:4">
      <c r="B340" s="72"/>
      <c r="C340" s="16"/>
      <c r="D340" s="17"/>
    </row>
    <row r="341" spans="2:4">
      <c r="B341" s="72"/>
      <c r="C341" s="16"/>
      <c r="D341" s="17"/>
    </row>
    <row r="342" spans="2:4">
      <c r="B342" s="72"/>
      <c r="C342" s="16"/>
      <c r="D342" s="17"/>
    </row>
    <row r="343" spans="2:4">
      <c r="B343" s="72"/>
      <c r="C343" s="16"/>
      <c r="D343" s="17"/>
    </row>
    <row r="344" spans="2:4">
      <c r="B344" s="72"/>
      <c r="C344" s="16"/>
      <c r="D344" s="17"/>
    </row>
    <row r="345" spans="2:4">
      <c r="B345" s="72"/>
      <c r="C345" s="16"/>
      <c r="D345" s="17"/>
    </row>
    <row r="346" spans="2:4">
      <c r="B346" s="72"/>
      <c r="C346" s="16"/>
      <c r="D346" s="17"/>
    </row>
    <row r="347" spans="2:4">
      <c r="B347" s="72"/>
      <c r="C347" s="16"/>
      <c r="D347" s="17"/>
    </row>
    <row r="348" spans="2:4">
      <c r="B348" s="72"/>
      <c r="C348" s="16"/>
      <c r="D348" s="17"/>
    </row>
    <row r="349" spans="2:4">
      <c r="B349" s="72"/>
      <c r="C349" s="16"/>
      <c r="D349" s="17"/>
    </row>
    <row r="350" spans="2:4">
      <c r="B350" s="72"/>
      <c r="C350" s="16"/>
      <c r="D350" s="17"/>
    </row>
    <row r="351" spans="2:4">
      <c r="B351" s="72"/>
      <c r="C351" s="16"/>
      <c r="D351" s="17"/>
    </row>
    <row r="352" spans="2:4">
      <c r="B352" s="72"/>
      <c r="C352" s="16"/>
      <c r="D352" s="17"/>
    </row>
    <row r="353" spans="2:4">
      <c r="B353" s="72"/>
      <c r="C353" s="16"/>
      <c r="D353" s="17"/>
    </row>
    <row r="354" spans="2:4">
      <c r="B354" s="72"/>
      <c r="C354" s="16"/>
      <c r="D354" s="17"/>
    </row>
    <row r="355" spans="2:4">
      <c r="B355" s="72"/>
      <c r="C355" s="16"/>
      <c r="D355" s="17"/>
    </row>
    <row r="356" spans="2:4">
      <c r="B356" s="72"/>
      <c r="C356" s="16"/>
      <c r="D356" s="17"/>
    </row>
    <row r="357" spans="2:4">
      <c r="B357" s="72"/>
      <c r="C357" s="16"/>
      <c r="D357" s="17"/>
    </row>
    <row r="358" spans="2:4">
      <c r="B358" s="72"/>
      <c r="C358" s="16"/>
      <c r="D358" s="17"/>
    </row>
    <row r="359" spans="2:4">
      <c r="B359" s="72"/>
      <c r="C359" s="16"/>
      <c r="D359" s="17"/>
    </row>
    <row r="360" spans="2:4">
      <c r="B360" s="72"/>
      <c r="C360" s="16"/>
      <c r="D360" s="17"/>
    </row>
    <row r="361" spans="2:4">
      <c r="B361" s="72"/>
      <c r="C361" s="16"/>
      <c r="D361" s="17"/>
    </row>
    <row r="362" spans="2:4">
      <c r="B362" s="72"/>
      <c r="C362" s="16"/>
      <c r="D362" s="17"/>
    </row>
    <row r="363" spans="2:4">
      <c r="B363" s="72"/>
      <c r="C363" s="16"/>
      <c r="D363" s="17"/>
    </row>
    <row r="364" spans="2:4">
      <c r="B364" s="72"/>
      <c r="C364" s="16"/>
      <c r="D364" s="17"/>
    </row>
    <row r="365" spans="2:4">
      <c r="B365" s="72"/>
      <c r="C365" s="16"/>
      <c r="D365" s="17"/>
    </row>
    <row r="366" spans="2:4">
      <c r="B366" s="72"/>
      <c r="C366" s="16"/>
      <c r="D366" s="17"/>
    </row>
    <row r="367" spans="2:4">
      <c r="B367" s="72"/>
      <c r="C367" s="16"/>
      <c r="D367" s="17"/>
    </row>
    <row r="368" spans="2:4">
      <c r="B368" s="72"/>
      <c r="C368" s="16"/>
      <c r="D368" s="17"/>
    </row>
    <row r="369" spans="2:4">
      <c r="B369" s="72"/>
      <c r="C369" s="16"/>
      <c r="D369" s="17"/>
    </row>
    <row r="370" spans="2:4">
      <c r="B370" s="72"/>
      <c r="C370" s="16"/>
      <c r="D370" s="17"/>
    </row>
    <row r="371" spans="2:4">
      <c r="B371" s="72"/>
      <c r="C371" s="16"/>
      <c r="D371" s="17"/>
    </row>
    <row r="372" spans="2:4">
      <c r="B372" s="72"/>
      <c r="C372" s="16"/>
      <c r="D372" s="17"/>
    </row>
    <row r="373" spans="2:4">
      <c r="B373" s="72"/>
      <c r="C373" s="16"/>
      <c r="D373" s="17"/>
    </row>
    <row r="374" spans="2:4">
      <c r="B374" s="72"/>
      <c r="C374" s="16"/>
      <c r="D374" s="17"/>
    </row>
    <row r="375" spans="2:4">
      <c r="B375" s="72"/>
      <c r="C375" s="16"/>
      <c r="D375" s="17"/>
    </row>
    <row r="376" spans="2:4">
      <c r="B376" s="72"/>
      <c r="C376" s="16"/>
      <c r="D376" s="17"/>
    </row>
    <row r="377" spans="2:4">
      <c r="B377" s="72"/>
      <c r="C377" s="16"/>
      <c r="D377" s="17"/>
    </row>
    <row r="378" spans="2:4">
      <c r="B378" s="72"/>
      <c r="C378" s="16"/>
      <c r="D378" s="17"/>
    </row>
    <row r="379" spans="2:4">
      <c r="B379" s="72"/>
      <c r="C379" s="16"/>
      <c r="D379" s="17"/>
    </row>
    <row r="380" spans="2:4">
      <c r="B380" s="72"/>
      <c r="C380" s="16"/>
      <c r="D380" s="17"/>
    </row>
    <row r="381" spans="2:4">
      <c r="B381" s="72"/>
      <c r="C381" s="16"/>
      <c r="D381" s="17"/>
    </row>
    <row r="382" spans="2:4">
      <c r="B382" s="72"/>
      <c r="C382" s="16"/>
      <c r="D382" s="17"/>
    </row>
    <row r="383" spans="2:4">
      <c r="B383" s="72"/>
      <c r="C383" s="16"/>
      <c r="D383" s="17"/>
    </row>
    <row r="384" spans="2:4">
      <c r="B384" s="72"/>
      <c r="C384" s="16"/>
      <c r="D384" s="17"/>
    </row>
    <row r="385" spans="2:4">
      <c r="B385" s="72"/>
      <c r="C385" s="16"/>
      <c r="D385" s="17"/>
    </row>
    <row r="386" spans="2:4">
      <c r="B386" s="72"/>
      <c r="C386" s="16"/>
      <c r="D386" s="17"/>
    </row>
    <row r="387" spans="2:4">
      <c r="B387" s="72"/>
      <c r="C387" s="16"/>
      <c r="D387" s="17"/>
    </row>
    <row r="388" spans="2:4">
      <c r="B388" s="72"/>
      <c r="C388" s="16"/>
      <c r="D388" s="17"/>
    </row>
    <row r="389" spans="2:4">
      <c r="B389" s="72"/>
      <c r="C389" s="16"/>
      <c r="D389" s="17"/>
    </row>
    <row r="390" spans="2:4">
      <c r="B390" s="72"/>
      <c r="C390" s="16"/>
      <c r="D390" s="17"/>
    </row>
    <row r="391" spans="2:4">
      <c r="B391" s="72"/>
      <c r="C391" s="16"/>
      <c r="D391" s="17"/>
    </row>
    <row r="392" spans="2:4">
      <c r="B392" s="72"/>
      <c r="C392" s="16"/>
      <c r="D392" s="17"/>
    </row>
    <row r="393" spans="2:4">
      <c r="B393" s="72"/>
      <c r="C393" s="16"/>
      <c r="D393" s="17"/>
    </row>
    <row r="394" spans="2:4">
      <c r="B394" s="72"/>
      <c r="C394" s="16"/>
      <c r="D394" s="17"/>
    </row>
    <row r="395" spans="2:4">
      <c r="B395" s="72"/>
      <c r="C395" s="16"/>
      <c r="D395" s="17"/>
    </row>
    <row r="396" spans="2:4">
      <c r="B396" s="72"/>
      <c r="C396" s="16"/>
      <c r="D396" s="17"/>
    </row>
    <row r="397" spans="2:4">
      <c r="B397" s="72"/>
      <c r="C397" s="16"/>
      <c r="D397" s="17"/>
    </row>
    <row r="398" spans="2:4">
      <c r="B398" s="72"/>
      <c r="C398" s="16"/>
      <c r="D398" s="17"/>
    </row>
    <row r="399" spans="2:4">
      <c r="B399" s="72"/>
      <c r="C399" s="16"/>
      <c r="D399" s="17"/>
    </row>
    <row r="400" spans="2:4">
      <c r="B400" s="72"/>
      <c r="C400" s="16"/>
      <c r="D400" s="17"/>
    </row>
    <row r="401" spans="2:4">
      <c r="B401" s="72"/>
      <c r="C401" s="16"/>
      <c r="D401" s="17"/>
    </row>
    <row r="402" spans="2:4">
      <c r="B402" s="72"/>
      <c r="C402" s="16"/>
      <c r="D402" s="17"/>
    </row>
    <row r="403" spans="2:4">
      <c r="B403" s="72"/>
      <c r="C403" s="16"/>
      <c r="D403" s="17"/>
    </row>
    <row r="404" spans="2:4">
      <c r="B404" s="72"/>
      <c r="C404" s="16"/>
      <c r="D404" s="17"/>
    </row>
    <row r="405" spans="2:4">
      <c r="B405" s="72"/>
      <c r="C405" s="16"/>
      <c r="D405" s="17"/>
    </row>
    <row r="406" spans="2:4">
      <c r="B406" s="72"/>
      <c r="C406" s="16"/>
      <c r="D406" s="17"/>
    </row>
    <row r="407" spans="2:4">
      <c r="B407" s="72"/>
      <c r="C407" s="16"/>
      <c r="D407" s="17"/>
    </row>
    <row r="408" spans="2:4">
      <c r="B408" s="72"/>
      <c r="C408" s="16"/>
      <c r="D408" s="17"/>
    </row>
    <row r="409" spans="2:4">
      <c r="B409" s="72"/>
      <c r="C409" s="16"/>
      <c r="D409" s="17"/>
    </row>
    <row r="410" spans="2:4">
      <c r="B410" s="72"/>
      <c r="C410" s="16"/>
      <c r="D410" s="17"/>
    </row>
    <row r="411" spans="2:4">
      <c r="B411" s="72"/>
      <c r="C411" s="16"/>
      <c r="D411" s="17"/>
    </row>
    <row r="412" spans="2:4">
      <c r="B412" s="72"/>
      <c r="C412" s="16"/>
      <c r="D412" s="17"/>
    </row>
    <row r="413" spans="2:4">
      <c r="B413" s="72"/>
      <c r="C413" s="16"/>
      <c r="D413" s="17"/>
    </row>
    <row r="414" spans="2:4">
      <c r="B414" s="72"/>
      <c r="C414" s="16"/>
      <c r="D414" s="17"/>
    </row>
    <row r="415" spans="2:4">
      <c r="B415" s="72"/>
      <c r="C415" s="16"/>
      <c r="D415" s="17"/>
    </row>
    <row r="416" spans="2:4">
      <c r="B416" s="72"/>
      <c r="C416" s="16"/>
      <c r="D416" s="17"/>
    </row>
    <row r="417" spans="2:4">
      <c r="B417" s="72"/>
      <c r="C417" s="16"/>
      <c r="D417" s="17"/>
    </row>
    <row r="418" spans="2:4">
      <c r="B418" s="72"/>
      <c r="C418" s="16"/>
      <c r="D418" s="17"/>
    </row>
    <row r="419" spans="2:4">
      <c r="B419" s="72"/>
      <c r="C419" s="16"/>
      <c r="D419" s="17"/>
    </row>
    <row r="420" spans="2:4">
      <c r="B420" s="72"/>
      <c r="C420" s="16"/>
      <c r="D420" s="17"/>
    </row>
    <row r="421" spans="2:4">
      <c r="B421" s="72"/>
      <c r="C421" s="16"/>
      <c r="D421" s="17"/>
    </row>
    <row r="422" spans="2:4">
      <c r="B422" s="72"/>
      <c r="C422" s="16"/>
      <c r="D422" s="17"/>
    </row>
    <row r="423" spans="2:4">
      <c r="B423" s="72"/>
      <c r="C423" s="16"/>
      <c r="D423" s="17"/>
    </row>
    <row r="424" spans="2:4">
      <c r="B424" s="72"/>
      <c r="C424" s="16"/>
      <c r="D424" s="17"/>
    </row>
    <row r="425" spans="2:4">
      <c r="B425" s="72"/>
      <c r="C425" s="16"/>
      <c r="D425" s="17"/>
    </row>
    <row r="426" spans="2:4">
      <c r="B426" s="72"/>
      <c r="C426" s="16"/>
      <c r="D426" s="17"/>
    </row>
    <row r="427" spans="2:4">
      <c r="B427" s="72"/>
      <c r="C427" s="16"/>
      <c r="D427" s="17"/>
    </row>
    <row r="428" spans="2:4">
      <c r="B428" s="72"/>
      <c r="C428" s="16"/>
      <c r="D428" s="17"/>
    </row>
    <row r="429" spans="2:4">
      <c r="B429" s="72"/>
      <c r="C429" s="16"/>
      <c r="D429" s="17"/>
    </row>
    <row r="430" spans="2:4">
      <c r="B430" s="72"/>
      <c r="C430" s="16"/>
      <c r="D430" s="17"/>
    </row>
    <row r="431" spans="2:4">
      <c r="B431" s="72"/>
      <c r="C431" s="16"/>
      <c r="D431" s="17"/>
    </row>
    <row r="432" spans="2:4">
      <c r="B432" s="72"/>
      <c r="C432" s="16"/>
      <c r="D432" s="17"/>
    </row>
    <row r="433" spans="2:4">
      <c r="B433" s="72"/>
      <c r="C433" s="16"/>
      <c r="D433" s="17"/>
    </row>
    <row r="434" spans="2:4">
      <c r="B434" s="72"/>
      <c r="C434" s="16"/>
      <c r="D434" s="17"/>
    </row>
    <row r="435" spans="2:4">
      <c r="B435" s="72"/>
      <c r="C435" s="16"/>
      <c r="D435" s="17"/>
    </row>
    <row r="436" spans="2:4">
      <c r="B436" s="72"/>
      <c r="C436" s="16"/>
      <c r="D436" s="17"/>
    </row>
    <row r="437" spans="2:4">
      <c r="B437" s="72"/>
      <c r="C437" s="16"/>
      <c r="D437" s="17"/>
    </row>
    <row r="438" spans="2:4">
      <c r="B438" s="72"/>
      <c r="C438" s="16"/>
      <c r="D438" s="17"/>
    </row>
    <row r="439" spans="2:4">
      <c r="B439" s="72"/>
      <c r="C439" s="16"/>
      <c r="D439" s="17"/>
    </row>
    <row r="440" spans="2:4">
      <c r="B440" s="72"/>
      <c r="C440" s="16"/>
      <c r="D440" s="17"/>
    </row>
    <row r="441" spans="2:4">
      <c r="B441" s="72"/>
      <c r="C441" s="16"/>
      <c r="D441" s="17"/>
    </row>
    <row r="442" spans="2:4">
      <c r="B442" s="72"/>
      <c r="C442" s="16"/>
      <c r="D442" s="17"/>
    </row>
    <row r="443" spans="2:4">
      <c r="B443" s="72"/>
      <c r="C443" s="16"/>
      <c r="D443" s="17"/>
    </row>
    <row r="444" spans="2:4">
      <c r="B444" s="72"/>
      <c r="C444" s="16"/>
      <c r="D444" s="17"/>
    </row>
    <row r="445" spans="2:4">
      <c r="B445" s="72"/>
      <c r="C445" s="16"/>
      <c r="D445" s="17"/>
    </row>
    <row r="446" spans="2:4">
      <c r="B446" s="72"/>
      <c r="C446" s="16"/>
      <c r="D446" s="17"/>
    </row>
    <row r="447" spans="2:4">
      <c r="B447" s="72"/>
      <c r="C447" s="16"/>
      <c r="D447" s="17"/>
    </row>
    <row r="448" spans="2:4">
      <c r="B448" s="72"/>
      <c r="C448" s="16"/>
      <c r="D448" s="17"/>
    </row>
    <row r="449" spans="2:4">
      <c r="B449" s="72"/>
      <c r="C449" s="16"/>
      <c r="D449" s="17"/>
    </row>
    <row r="450" spans="2:4">
      <c r="B450" s="72"/>
      <c r="C450" s="16"/>
      <c r="D450" s="17"/>
    </row>
    <row r="451" spans="2:4">
      <c r="B451" s="72"/>
      <c r="C451" s="16"/>
      <c r="D451" s="17"/>
    </row>
    <row r="452" spans="2:4">
      <c r="B452" s="72"/>
      <c r="C452" s="16"/>
      <c r="D452" s="17"/>
    </row>
    <row r="453" spans="2:4">
      <c r="B453" s="72"/>
      <c r="C453" s="16"/>
      <c r="D453" s="17"/>
    </row>
    <row r="454" spans="2:4">
      <c r="B454" s="72"/>
      <c r="C454" s="16"/>
      <c r="D454" s="17"/>
    </row>
    <row r="455" spans="2:4">
      <c r="B455" s="72"/>
      <c r="C455" s="16"/>
      <c r="D455" s="17"/>
    </row>
    <row r="456" spans="2:4">
      <c r="B456" s="72"/>
      <c r="C456" s="16"/>
      <c r="D456" s="17"/>
    </row>
    <row r="457" spans="2:4">
      <c r="B457" s="72"/>
      <c r="C457" s="16"/>
      <c r="D457" s="17"/>
    </row>
    <row r="458" spans="2:4">
      <c r="B458" s="72"/>
      <c r="C458" s="16"/>
      <c r="D458" s="17"/>
    </row>
    <row r="459" spans="2:4">
      <c r="B459" s="72"/>
      <c r="C459" s="16"/>
      <c r="D459" s="17"/>
    </row>
    <row r="460" spans="2:4">
      <c r="B460" s="72"/>
      <c r="C460" s="16"/>
      <c r="D460" s="17"/>
    </row>
    <row r="461" spans="2:4">
      <c r="B461" s="72"/>
      <c r="C461" s="16"/>
      <c r="D461" s="17"/>
    </row>
    <row r="462" spans="2:4">
      <c r="B462" s="72"/>
      <c r="C462" s="16"/>
      <c r="D462" s="17"/>
    </row>
    <row r="463" spans="2:4">
      <c r="B463" s="72"/>
      <c r="C463" s="16"/>
      <c r="D463" s="17"/>
    </row>
    <row r="464" spans="2:4">
      <c r="B464" s="72"/>
      <c r="C464" s="16"/>
      <c r="D464" s="17"/>
    </row>
    <row r="465" spans="2:4">
      <c r="B465" s="72"/>
      <c r="C465" s="16"/>
      <c r="D465" s="17"/>
    </row>
    <row r="466" spans="2:4">
      <c r="B466" s="72"/>
      <c r="C466" s="16"/>
      <c r="D466" s="17"/>
    </row>
    <row r="467" spans="2:4">
      <c r="B467" s="72"/>
      <c r="C467" s="16"/>
      <c r="D467" s="17"/>
    </row>
    <row r="468" spans="2:4">
      <c r="B468" s="72"/>
      <c r="C468" s="16"/>
      <c r="D468" s="17"/>
    </row>
    <row r="469" spans="2:4">
      <c r="B469" s="72"/>
      <c r="C469" s="16"/>
      <c r="D469" s="17"/>
    </row>
    <row r="470" spans="2:4">
      <c r="B470" s="72"/>
      <c r="C470" s="16"/>
      <c r="D470" s="17"/>
    </row>
    <row r="471" spans="2:4">
      <c r="B471" s="72"/>
      <c r="C471" s="16"/>
      <c r="D471" s="17"/>
    </row>
    <row r="472" spans="2:4">
      <c r="B472" s="72"/>
      <c r="C472" s="16"/>
      <c r="D472" s="17"/>
    </row>
    <row r="473" spans="2:4">
      <c r="B473" s="72"/>
      <c r="C473" s="16"/>
      <c r="D473" s="17"/>
    </row>
    <row r="474" spans="2:4">
      <c r="B474" s="72"/>
      <c r="C474" s="16"/>
      <c r="D474" s="17"/>
    </row>
    <row r="475" spans="2:4">
      <c r="B475" s="72"/>
      <c r="C475" s="16"/>
      <c r="D475" s="17"/>
    </row>
    <row r="476" spans="2:4">
      <c r="B476" s="72"/>
      <c r="C476" s="16"/>
      <c r="D476" s="17"/>
    </row>
    <row r="477" spans="2:4">
      <c r="B477" s="72"/>
      <c r="C477" s="16"/>
      <c r="D477" s="17"/>
    </row>
    <row r="478" spans="2:4">
      <c r="B478" s="72"/>
      <c r="C478" s="16"/>
      <c r="D478" s="17"/>
    </row>
    <row r="479" spans="2:4">
      <c r="B479" s="72"/>
      <c r="C479" s="16"/>
      <c r="D479" s="17"/>
    </row>
    <row r="480" spans="2:4">
      <c r="B480" s="72"/>
      <c r="C480" s="16"/>
      <c r="D480" s="17"/>
    </row>
    <row r="481" spans="2:4">
      <c r="B481" s="72"/>
      <c r="C481" s="16"/>
      <c r="D481" s="17"/>
    </row>
    <row r="482" spans="2:4">
      <c r="B482" s="72"/>
      <c r="C482" s="16"/>
      <c r="D482" s="17"/>
    </row>
    <row r="483" spans="2:4">
      <c r="B483" s="72"/>
      <c r="C483" s="16"/>
      <c r="D483" s="17"/>
    </row>
    <row r="484" spans="2:4">
      <c r="B484" s="72"/>
      <c r="C484" s="16"/>
      <c r="D484" s="17"/>
    </row>
    <row r="485" spans="2:4">
      <c r="B485" s="72"/>
      <c r="C485" s="16"/>
      <c r="D485" s="17"/>
    </row>
    <row r="486" spans="2:4">
      <c r="B486" s="72"/>
      <c r="C486" s="16"/>
      <c r="D486" s="17"/>
    </row>
    <row r="487" spans="2:4">
      <c r="B487" s="72"/>
      <c r="C487" s="16"/>
      <c r="D487" s="17"/>
    </row>
    <row r="488" spans="2:4">
      <c r="B488" s="72"/>
      <c r="C488" s="16"/>
      <c r="D488" s="17"/>
    </row>
    <row r="489" spans="2:4">
      <c r="B489" s="72"/>
      <c r="C489" s="16"/>
      <c r="D489" s="17"/>
    </row>
    <row r="490" spans="2:4">
      <c r="B490" s="72"/>
      <c r="C490" s="16"/>
      <c r="D490" s="17"/>
    </row>
    <row r="491" spans="2:4">
      <c r="B491" s="72"/>
      <c r="C491" s="16"/>
      <c r="D491" s="17"/>
    </row>
    <row r="492" spans="2:4">
      <c r="B492" s="72"/>
      <c r="C492" s="16"/>
      <c r="D492" s="17"/>
    </row>
    <row r="493" spans="2:4">
      <c r="B493" s="72"/>
      <c r="C493" s="16"/>
      <c r="D493" s="17"/>
    </row>
    <row r="494" spans="2:4">
      <c r="B494" s="72"/>
      <c r="C494" s="16"/>
      <c r="D494" s="17"/>
    </row>
    <row r="495" spans="2:4">
      <c r="B495" s="72"/>
      <c r="C495" s="16"/>
      <c r="D495" s="17"/>
    </row>
    <row r="496" spans="2:4">
      <c r="B496" s="72"/>
      <c r="C496" s="16"/>
      <c r="D496" s="17"/>
    </row>
    <row r="497" spans="2:4">
      <c r="B497" s="72"/>
      <c r="C497" s="16"/>
      <c r="D497" s="17"/>
    </row>
    <row r="498" spans="2:4">
      <c r="B498" s="72"/>
      <c r="C498" s="16"/>
      <c r="D498" s="17"/>
    </row>
    <row r="499" spans="2:4">
      <c r="B499" s="72"/>
      <c r="C499" s="16"/>
      <c r="D499" s="17"/>
    </row>
    <row r="500" spans="2:4">
      <c r="B500" s="72"/>
      <c r="C500" s="16"/>
      <c r="D500" s="17"/>
    </row>
    <row r="501" spans="2:4">
      <c r="B501" s="72"/>
      <c r="C501" s="16"/>
      <c r="D501" s="17"/>
    </row>
    <row r="502" spans="2:4">
      <c r="B502" s="72"/>
      <c r="C502" s="16"/>
      <c r="D502" s="17"/>
    </row>
    <row r="503" spans="2:4">
      <c r="B503" s="72"/>
      <c r="C503" s="16"/>
      <c r="D503" s="17"/>
    </row>
    <row r="504" spans="2:4">
      <c r="B504" s="72"/>
      <c r="C504" s="16"/>
      <c r="D504" s="17"/>
    </row>
    <row r="505" spans="2:4">
      <c r="B505" s="72"/>
      <c r="C505" s="16"/>
      <c r="D505" s="17"/>
    </row>
    <row r="506" spans="2:4">
      <c r="B506" s="72"/>
      <c r="C506" s="16"/>
      <c r="D506" s="17"/>
    </row>
    <row r="507" spans="2:4">
      <c r="B507" s="72"/>
      <c r="C507" s="16"/>
      <c r="D507" s="17"/>
    </row>
    <row r="508" spans="2:4">
      <c r="B508" s="72"/>
      <c r="C508" s="16"/>
      <c r="D508" s="17"/>
    </row>
    <row r="509" spans="2:4">
      <c r="B509" s="72"/>
      <c r="C509" s="16"/>
      <c r="D509" s="17"/>
    </row>
    <row r="510" spans="2:4">
      <c r="B510" s="72"/>
      <c r="C510" s="16"/>
      <c r="D510" s="17"/>
    </row>
    <row r="511" spans="2:4">
      <c r="B511" s="72"/>
      <c r="C511" s="16"/>
      <c r="D511" s="17"/>
    </row>
    <row r="512" spans="2:4">
      <c r="B512" s="72"/>
      <c r="C512" s="16"/>
      <c r="D512" s="17"/>
    </row>
    <row r="513" spans="2:4">
      <c r="B513" s="72"/>
      <c r="C513" s="16"/>
      <c r="D513" s="17"/>
    </row>
    <row r="514" spans="2:4">
      <c r="B514" s="72"/>
      <c r="C514" s="16"/>
      <c r="D514" s="17"/>
    </row>
    <row r="515" spans="2:4">
      <c r="B515" s="72"/>
      <c r="C515" s="16"/>
      <c r="D515" s="17"/>
    </row>
    <row r="516" spans="2:4">
      <c r="B516" s="72"/>
      <c r="C516" s="16"/>
      <c r="D516" s="17"/>
    </row>
    <row r="517" spans="2:4">
      <c r="B517" s="72"/>
      <c r="C517" s="16"/>
      <c r="D517" s="17"/>
    </row>
    <row r="518" spans="2:4">
      <c r="B518" s="72"/>
      <c r="C518" s="16"/>
      <c r="D518" s="17"/>
    </row>
    <row r="519" spans="2:4">
      <c r="B519" s="72"/>
      <c r="C519" s="16"/>
      <c r="D519" s="17"/>
    </row>
    <row r="520" spans="2:4">
      <c r="B520" s="72"/>
      <c r="C520" s="16"/>
      <c r="D520" s="17"/>
    </row>
    <row r="521" spans="2:4">
      <c r="B521" s="72"/>
      <c r="C521" s="16"/>
      <c r="D521" s="17"/>
    </row>
    <row r="522" spans="2:4">
      <c r="B522" s="72"/>
      <c r="C522" s="16"/>
      <c r="D522" s="17"/>
    </row>
    <row r="523" spans="2:4">
      <c r="B523" s="72"/>
      <c r="C523" s="16"/>
      <c r="D523" s="17"/>
    </row>
    <row r="524" spans="2:4">
      <c r="B524" s="72"/>
      <c r="C524" s="16"/>
      <c r="D524" s="17"/>
    </row>
    <row r="525" spans="2:4">
      <c r="B525" s="72"/>
      <c r="C525" s="16"/>
      <c r="D525" s="17"/>
    </row>
    <row r="526" spans="2:4">
      <c r="B526" s="72"/>
      <c r="C526" s="16"/>
      <c r="D526" s="17"/>
    </row>
    <row r="527" spans="2:4">
      <c r="B527" s="72"/>
      <c r="C527" s="16"/>
      <c r="D527" s="17"/>
    </row>
    <row r="528" spans="2:4">
      <c r="B528" s="72"/>
      <c r="C528" s="16"/>
      <c r="D528" s="17"/>
    </row>
    <row r="529" spans="2:4">
      <c r="B529" s="72"/>
      <c r="C529" s="16"/>
      <c r="D529" s="17"/>
    </row>
    <row r="530" spans="2:4">
      <c r="B530" s="72"/>
      <c r="C530" s="16"/>
      <c r="D530" s="17"/>
    </row>
    <row r="531" spans="2:4">
      <c r="B531" s="72"/>
      <c r="C531" s="16"/>
      <c r="D531" s="17"/>
    </row>
    <row r="532" spans="2:4">
      <c r="B532" s="72"/>
      <c r="C532" s="16"/>
      <c r="D532" s="17"/>
    </row>
    <row r="533" spans="2:4">
      <c r="B533" s="72"/>
      <c r="C533" s="16"/>
      <c r="D533" s="17"/>
    </row>
    <row r="534" spans="2:4">
      <c r="B534" s="72"/>
      <c r="C534" s="16"/>
      <c r="D534" s="17"/>
    </row>
    <row r="535" spans="2:4">
      <c r="B535" s="72"/>
      <c r="C535" s="16"/>
      <c r="D535" s="17"/>
    </row>
    <row r="536" spans="2:4">
      <c r="B536" s="72"/>
      <c r="C536" s="16"/>
      <c r="D536" s="17"/>
    </row>
    <row r="537" spans="2:4">
      <c r="B537" s="72"/>
      <c r="C537" s="16"/>
      <c r="D537" s="17"/>
    </row>
    <row r="538" spans="2:4">
      <c r="B538" s="72"/>
      <c r="C538" s="16"/>
      <c r="D538" s="17"/>
    </row>
    <row r="539" spans="2:4">
      <c r="B539" s="72"/>
      <c r="C539" s="16"/>
      <c r="D539" s="17"/>
    </row>
    <row r="540" spans="2:4">
      <c r="B540" s="72"/>
      <c r="C540" s="16"/>
      <c r="D540" s="17"/>
    </row>
    <row r="541" spans="2:4">
      <c r="B541" s="72"/>
      <c r="C541" s="16"/>
      <c r="D541" s="17"/>
    </row>
    <row r="542" spans="2:4">
      <c r="B542" s="72"/>
      <c r="C542" s="16"/>
      <c r="D542" s="17"/>
    </row>
    <row r="543" spans="2:4">
      <c r="B543" s="72"/>
      <c r="C543" s="16"/>
      <c r="D543" s="17"/>
    </row>
    <row r="544" spans="2:4">
      <c r="B544" s="72"/>
      <c r="C544" s="16"/>
      <c r="D544" s="17"/>
    </row>
    <row r="545" spans="2:4">
      <c r="B545" s="72"/>
      <c r="C545" s="16"/>
      <c r="D545" s="17"/>
    </row>
    <row r="546" spans="2:4">
      <c r="B546" s="72"/>
      <c r="C546" s="16"/>
      <c r="D546" s="17"/>
    </row>
    <row r="547" spans="2:4">
      <c r="B547" s="72"/>
      <c r="C547" s="16"/>
      <c r="D547" s="17"/>
    </row>
    <row r="548" spans="2:4">
      <c r="B548" s="72"/>
      <c r="C548" s="16"/>
      <c r="D548" s="17"/>
    </row>
    <row r="549" spans="2:4">
      <c r="B549" s="72"/>
      <c r="C549" s="16"/>
      <c r="D549" s="17"/>
    </row>
    <row r="550" spans="2:4">
      <c r="B550" s="72"/>
      <c r="C550" s="16"/>
      <c r="D550" s="17"/>
    </row>
    <row r="551" spans="2:4">
      <c r="B551" s="72"/>
      <c r="C551" s="16"/>
      <c r="D551" s="17"/>
    </row>
    <row r="552" spans="2:4">
      <c r="B552" s="72"/>
      <c r="C552" s="16"/>
      <c r="D552" s="17"/>
    </row>
    <row r="553" spans="2:4">
      <c r="B553" s="72"/>
      <c r="C553" s="16"/>
      <c r="D553" s="17"/>
    </row>
    <row r="554" spans="2:4">
      <c r="B554" s="72"/>
      <c r="C554" s="16"/>
      <c r="D554" s="17"/>
    </row>
    <row r="555" spans="2:4">
      <c r="B555" s="72"/>
      <c r="C555" s="16"/>
      <c r="D555" s="17"/>
    </row>
    <row r="556" spans="2:4">
      <c r="B556" s="72"/>
      <c r="C556" s="16"/>
      <c r="D556" s="17"/>
    </row>
    <row r="557" spans="2:4">
      <c r="B557" s="72"/>
      <c r="C557" s="16"/>
      <c r="D557" s="17"/>
    </row>
    <row r="558" spans="2:4">
      <c r="B558" s="72"/>
      <c r="C558" s="16"/>
      <c r="D558" s="17"/>
    </row>
    <row r="559" spans="2:4">
      <c r="B559" s="72"/>
      <c r="C559" s="16"/>
      <c r="D559" s="17"/>
    </row>
    <row r="560" spans="2:4">
      <c r="B560" s="72"/>
      <c r="C560" s="16"/>
      <c r="D560" s="17"/>
    </row>
    <row r="561" spans="2:4">
      <c r="B561" s="72"/>
      <c r="C561" s="16"/>
      <c r="D561" s="17"/>
    </row>
    <row r="562" spans="2:4">
      <c r="B562" s="72"/>
      <c r="C562" s="16"/>
      <c r="D562" s="17"/>
    </row>
    <row r="563" spans="2:4">
      <c r="B563" s="72"/>
      <c r="C563" s="16"/>
      <c r="D563" s="17"/>
    </row>
    <row r="564" spans="2:4">
      <c r="B564" s="72"/>
      <c r="C564" s="16"/>
      <c r="D564" s="17"/>
    </row>
    <row r="565" spans="2:4">
      <c r="B565" s="72"/>
      <c r="C565" s="16"/>
      <c r="D565" s="17"/>
    </row>
    <row r="566" spans="2:4">
      <c r="B566" s="72"/>
      <c r="C566" s="16"/>
      <c r="D566" s="17"/>
    </row>
    <row r="567" spans="2:4">
      <c r="B567" s="72"/>
      <c r="C567" s="16"/>
      <c r="D567" s="17"/>
    </row>
    <row r="568" spans="2:4">
      <c r="B568" s="72"/>
      <c r="C568" s="16"/>
      <c r="D568" s="17"/>
    </row>
    <row r="569" spans="2:4">
      <c r="B569" s="72"/>
      <c r="C569" s="16"/>
      <c r="D569" s="17"/>
    </row>
    <row r="570" spans="2:4">
      <c r="B570" s="72"/>
      <c r="C570" s="16"/>
      <c r="D570" s="17"/>
    </row>
    <row r="571" spans="2:4">
      <c r="B571" s="72"/>
      <c r="C571" s="16"/>
      <c r="D571" s="17"/>
    </row>
    <row r="572" spans="2:4">
      <c r="B572" s="72"/>
      <c r="C572" s="16"/>
      <c r="D572" s="17"/>
    </row>
    <row r="573" spans="2:4">
      <c r="B573" s="72"/>
      <c r="C573" s="16"/>
      <c r="D573" s="17"/>
    </row>
    <row r="574" spans="2:4">
      <c r="B574" s="72"/>
      <c r="C574" s="16"/>
      <c r="D574" s="17"/>
    </row>
    <row r="575" spans="2:4">
      <c r="B575" s="72"/>
      <c r="C575" s="16"/>
      <c r="D575" s="17"/>
    </row>
    <row r="576" spans="2:4">
      <c r="B576" s="72"/>
      <c r="C576" s="16"/>
      <c r="D576" s="17"/>
    </row>
    <row r="577" spans="2:4">
      <c r="B577" s="72"/>
      <c r="C577" s="16"/>
      <c r="D577" s="17"/>
    </row>
    <row r="578" spans="2:4">
      <c r="B578" s="72"/>
      <c r="C578" s="16"/>
      <c r="D578" s="17"/>
    </row>
    <row r="579" spans="2:4">
      <c r="B579" s="72"/>
      <c r="C579" s="16"/>
      <c r="D579" s="17"/>
    </row>
    <row r="580" spans="2:4">
      <c r="B580" s="72"/>
      <c r="C580" s="16"/>
      <c r="D580" s="17"/>
    </row>
    <row r="581" spans="2:4">
      <c r="B581" s="72"/>
      <c r="C581" s="16"/>
      <c r="D581" s="17"/>
    </row>
    <row r="582" spans="2:4">
      <c r="B582" s="72"/>
      <c r="C582" s="16"/>
      <c r="D582" s="17"/>
    </row>
    <row r="583" spans="2:4">
      <c r="B583" s="72"/>
      <c r="C583" s="16"/>
      <c r="D583" s="17"/>
    </row>
    <row r="584" spans="2:4">
      <c r="B584" s="72"/>
      <c r="C584" s="16"/>
      <c r="D584" s="17"/>
    </row>
    <row r="585" spans="2:4">
      <c r="B585" s="72"/>
      <c r="C585" s="16"/>
      <c r="D585" s="17"/>
    </row>
    <row r="586" spans="2:4">
      <c r="B586" s="72"/>
      <c r="C586" s="16"/>
      <c r="D586" s="17"/>
    </row>
    <row r="587" spans="2:4">
      <c r="B587" s="72"/>
      <c r="C587" s="16"/>
      <c r="D587" s="17"/>
    </row>
    <row r="588" spans="2:4">
      <c r="B588" s="72"/>
      <c r="C588" s="16"/>
      <c r="D588" s="17"/>
    </row>
    <row r="589" spans="2:4">
      <c r="B589" s="72"/>
      <c r="C589" s="16"/>
      <c r="D589" s="17"/>
    </row>
    <row r="590" spans="2:4">
      <c r="B590" s="72"/>
      <c r="C590" s="16"/>
      <c r="D590" s="17"/>
    </row>
    <row r="591" spans="2:4">
      <c r="B591" s="72"/>
      <c r="C591" s="16"/>
      <c r="D591" s="17"/>
    </row>
    <row r="592" spans="2:4">
      <c r="B592" s="72"/>
      <c r="C592" s="16"/>
      <c r="D592" s="17"/>
    </row>
    <row r="593" spans="2:4">
      <c r="B593" s="72"/>
      <c r="C593" s="16"/>
      <c r="D593" s="17"/>
    </row>
    <row r="594" spans="2:4">
      <c r="B594" s="72"/>
      <c r="C594" s="16"/>
      <c r="D594" s="17"/>
    </row>
    <row r="595" spans="2:4">
      <c r="B595" s="72"/>
      <c r="C595" s="16"/>
      <c r="D595" s="17"/>
    </row>
    <row r="596" spans="2:4">
      <c r="B596" s="72"/>
      <c r="C596" s="16"/>
      <c r="D596" s="17"/>
    </row>
    <row r="597" spans="2:4">
      <c r="B597" s="72"/>
      <c r="C597" s="16"/>
      <c r="D597" s="17"/>
    </row>
    <row r="598" spans="2:4">
      <c r="B598" s="72"/>
      <c r="C598" s="16"/>
      <c r="D598" s="17"/>
    </row>
    <row r="599" spans="2:4">
      <c r="B599" s="72"/>
      <c r="C599" s="16"/>
      <c r="D599" s="17"/>
    </row>
    <row r="600" spans="2:4">
      <c r="B600" s="72"/>
      <c r="C600" s="16"/>
      <c r="D600" s="17"/>
    </row>
    <row r="601" spans="2:4">
      <c r="B601" s="72"/>
      <c r="C601" s="16"/>
      <c r="D601" s="17"/>
    </row>
    <row r="602" spans="2:4">
      <c r="B602" s="72"/>
      <c r="C602" s="16"/>
      <c r="D602" s="17"/>
    </row>
    <row r="603" spans="2:4">
      <c r="B603" s="72"/>
      <c r="C603" s="16"/>
      <c r="D603" s="17"/>
    </row>
    <row r="604" spans="2:4">
      <c r="B604" s="72"/>
      <c r="C604" s="16"/>
      <c r="D604" s="17"/>
    </row>
    <row r="605" spans="2:4">
      <c r="B605" s="72"/>
      <c r="C605" s="16"/>
      <c r="D605" s="17"/>
    </row>
    <row r="606" spans="2:4">
      <c r="B606" s="72"/>
      <c r="C606" s="16"/>
      <c r="D606" s="17"/>
    </row>
    <row r="607" spans="2:4">
      <c r="B607" s="72"/>
      <c r="C607" s="16"/>
      <c r="D607" s="17"/>
    </row>
    <row r="608" spans="2:4">
      <c r="B608" s="72"/>
      <c r="C608" s="16"/>
      <c r="D608" s="17"/>
    </row>
    <row r="609" spans="2:4">
      <c r="B609" s="72"/>
      <c r="C609" s="16"/>
      <c r="D609" s="17"/>
    </row>
    <row r="610" spans="2:4">
      <c r="B610" s="72"/>
      <c r="C610" s="16"/>
      <c r="D610" s="17"/>
    </row>
    <row r="611" spans="2:4">
      <c r="B611" s="72"/>
      <c r="C611" s="16"/>
      <c r="D611" s="17"/>
    </row>
    <row r="612" spans="2:4">
      <c r="B612" s="72"/>
      <c r="C612" s="16"/>
      <c r="D612" s="17"/>
    </row>
    <row r="613" spans="2:4">
      <c r="B613" s="72"/>
      <c r="C613" s="16"/>
      <c r="D613" s="17"/>
    </row>
    <row r="614" spans="2:4">
      <c r="B614" s="72"/>
      <c r="C614" s="16"/>
      <c r="D614" s="17"/>
    </row>
    <row r="615" spans="2:4">
      <c r="B615" s="72"/>
      <c r="C615" s="16"/>
      <c r="D615" s="17"/>
    </row>
    <row r="616" spans="2:4">
      <c r="B616" s="72"/>
      <c r="C616" s="16"/>
      <c r="D616" s="17"/>
    </row>
    <row r="617" spans="2:4">
      <c r="B617" s="72"/>
      <c r="C617" s="16"/>
      <c r="D617" s="17"/>
    </row>
    <row r="618" spans="2:4">
      <c r="B618" s="72"/>
      <c r="C618" s="16"/>
      <c r="D618" s="17"/>
    </row>
    <row r="619" spans="2:4">
      <c r="B619" s="72"/>
      <c r="C619" s="16"/>
      <c r="D619" s="17"/>
    </row>
    <row r="620" spans="2:4">
      <c r="B620" s="72"/>
      <c r="C620" s="16"/>
      <c r="D620" s="17"/>
    </row>
    <row r="621" spans="2:4">
      <c r="B621" s="72"/>
      <c r="C621" s="16"/>
      <c r="D621" s="17"/>
    </row>
    <row r="622" spans="2:4">
      <c r="B622" s="72"/>
      <c r="C622" s="16"/>
      <c r="D622" s="17"/>
    </row>
    <row r="623" spans="2:4">
      <c r="B623" s="72"/>
      <c r="C623" s="16"/>
      <c r="D623" s="17"/>
    </row>
    <row r="624" spans="2:4">
      <c r="B624" s="72"/>
      <c r="C624" s="16"/>
      <c r="D624" s="17"/>
    </row>
    <row r="625" spans="2:4">
      <c r="B625" s="72"/>
      <c r="C625" s="16"/>
      <c r="D625" s="17"/>
    </row>
    <row r="626" spans="2:4">
      <c r="B626" s="72"/>
      <c r="C626" s="16"/>
      <c r="D626" s="17"/>
    </row>
    <row r="627" spans="2:4">
      <c r="B627" s="72"/>
      <c r="C627" s="16"/>
      <c r="D627" s="17"/>
    </row>
    <row r="628" spans="2:4">
      <c r="B628" s="72"/>
      <c r="C628" s="16"/>
      <c r="D628" s="17"/>
    </row>
    <row r="629" spans="2:4">
      <c r="B629" s="72"/>
      <c r="C629" s="16"/>
      <c r="D629" s="17"/>
    </row>
    <row r="630" spans="2:4">
      <c r="B630" s="72"/>
      <c r="C630" s="16"/>
      <c r="D630" s="17"/>
    </row>
    <row r="631" spans="2:4">
      <c r="B631" s="72"/>
      <c r="C631" s="16"/>
      <c r="D631" s="17"/>
    </row>
    <row r="632" spans="2:4">
      <c r="B632" s="72"/>
      <c r="C632" s="16"/>
      <c r="D632" s="17"/>
    </row>
    <row r="633" spans="2:4">
      <c r="B633" s="72"/>
      <c r="C633" s="16"/>
      <c r="D633" s="17"/>
    </row>
    <row r="634" spans="2:4">
      <c r="B634" s="72"/>
      <c r="C634" s="16"/>
      <c r="D634" s="17"/>
    </row>
    <row r="635" spans="2:4">
      <c r="B635" s="72"/>
      <c r="C635" s="16"/>
      <c r="D635" s="17"/>
    </row>
    <row r="636" spans="2:4">
      <c r="B636" s="72"/>
      <c r="C636" s="16"/>
      <c r="D636" s="17"/>
    </row>
    <row r="637" spans="2:4">
      <c r="B637" s="72"/>
      <c r="C637" s="16"/>
      <c r="D637" s="17"/>
    </row>
    <row r="638" spans="2:4">
      <c r="B638" s="72"/>
      <c r="C638" s="16"/>
      <c r="D638" s="17"/>
    </row>
    <row r="639" spans="2:4">
      <c r="B639" s="72"/>
      <c r="C639" s="16"/>
      <c r="D639" s="17"/>
    </row>
    <row r="640" spans="2:4">
      <c r="B640" s="72"/>
      <c r="C640" s="16"/>
      <c r="D640" s="17"/>
    </row>
    <row r="641" spans="2:4">
      <c r="B641" s="72"/>
      <c r="C641" s="16"/>
      <c r="D641" s="17"/>
    </row>
    <row r="642" spans="2:4">
      <c r="B642" s="72"/>
      <c r="C642" s="16"/>
      <c r="D642" s="17"/>
    </row>
    <row r="643" spans="2:4">
      <c r="B643" s="72"/>
      <c r="C643" s="16"/>
      <c r="D643" s="17"/>
    </row>
    <row r="644" spans="2:4">
      <c r="B644" s="72"/>
      <c r="C644" s="16"/>
      <c r="D644" s="17"/>
    </row>
    <row r="645" spans="2:4">
      <c r="B645" s="72"/>
      <c r="C645" s="16"/>
      <c r="D645" s="17"/>
    </row>
    <row r="646" spans="2:4">
      <c r="B646" s="72"/>
      <c r="C646" s="16"/>
      <c r="D646" s="17"/>
    </row>
    <row r="647" spans="2:4">
      <c r="B647" s="72"/>
      <c r="C647" s="16"/>
      <c r="D647" s="17"/>
    </row>
    <row r="648" spans="2:4">
      <c r="B648" s="72"/>
      <c r="C648" s="16"/>
      <c r="D648" s="17"/>
    </row>
    <row r="649" spans="2:4">
      <c r="B649" s="72"/>
      <c r="C649" s="16"/>
      <c r="D649" s="17"/>
    </row>
    <row r="650" spans="2:4">
      <c r="B650" s="72"/>
      <c r="C650" s="16"/>
      <c r="D650" s="17"/>
    </row>
    <row r="651" spans="2:4">
      <c r="B651" s="72"/>
      <c r="C651" s="16"/>
      <c r="D651" s="17"/>
    </row>
    <row r="652" spans="2:4">
      <c r="B652" s="72"/>
      <c r="C652" s="16"/>
      <c r="D652" s="17"/>
    </row>
    <row r="653" spans="2:4">
      <c r="B653" s="72"/>
      <c r="C653" s="16"/>
      <c r="D653" s="17"/>
    </row>
    <row r="654" spans="2:4">
      <c r="B654" s="72"/>
      <c r="C654" s="16"/>
      <c r="D654" s="17"/>
    </row>
    <row r="655" spans="2:4">
      <c r="B655" s="72"/>
      <c r="C655" s="16"/>
      <c r="D655" s="17"/>
    </row>
    <row r="656" spans="2:4">
      <c r="B656" s="72"/>
      <c r="C656" s="16"/>
      <c r="D656" s="17"/>
    </row>
    <row r="657" spans="2:4">
      <c r="B657" s="72"/>
      <c r="C657" s="16"/>
      <c r="D657" s="17"/>
    </row>
    <row r="658" spans="2:4">
      <c r="B658" s="72"/>
      <c r="C658" s="16"/>
      <c r="D658" s="17"/>
    </row>
    <row r="659" spans="2:4">
      <c r="B659" s="72"/>
      <c r="C659" s="16"/>
      <c r="D659" s="17"/>
    </row>
    <row r="660" spans="2:4">
      <c r="B660" s="72"/>
      <c r="C660" s="16"/>
      <c r="D660" s="17"/>
    </row>
    <row r="661" spans="2:4">
      <c r="B661" s="72"/>
      <c r="C661" s="16"/>
      <c r="D661" s="17"/>
    </row>
    <row r="662" spans="2:4">
      <c r="B662" s="72"/>
      <c r="C662" s="16"/>
      <c r="D662" s="17"/>
    </row>
    <row r="663" spans="2:4">
      <c r="B663" s="72"/>
      <c r="C663" s="16"/>
      <c r="D663" s="17"/>
    </row>
    <row r="664" spans="2:4">
      <c r="B664" s="72"/>
      <c r="C664" s="16"/>
      <c r="D664" s="17"/>
    </row>
    <row r="665" spans="2:4">
      <c r="B665" s="72"/>
      <c r="C665" s="16"/>
      <c r="D665" s="17"/>
    </row>
    <row r="666" spans="2:4">
      <c r="B666" s="72"/>
      <c r="C666" s="16"/>
      <c r="D666" s="17"/>
    </row>
    <row r="667" spans="2:4">
      <c r="B667" s="72"/>
      <c r="C667" s="16"/>
      <c r="D667" s="17"/>
    </row>
    <row r="668" spans="2:4">
      <c r="B668" s="72"/>
      <c r="C668" s="16"/>
      <c r="D668" s="17"/>
    </row>
    <row r="669" spans="2:4">
      <c r="B669" s="72"/>
      <c r="C669" s="16"/>
      <c r="D669" s="17"/>
    </row>
    <row r="670" spans="2:4">
      <c r="B670" s="72"/>
      <c r="C670" s="16"/>
      <c r="D670" s="17"/>
    </row>
    <row r="671" spans="2:4">
      <c r="B671" s="72"/>
      <c r="C671" s="16"/>
      <c r="D671" s="17"/>
    </row>
    <row r="672" spans="2:4">
      <c r="B672" s="72"/>
      <c r="C672" s="16"/>
      <c r="D672" s="17"/>
    </row>
    <row r="673" spans="2:4">
      <c r="B673" s="72"/>
      <c r="C673" s="16"/>
      <c r="D673" s="17"/>
    </row>
    <row r="674" spans="2:4">
      <c r="B674" s="72"/>
      <c r="C674" s="16"/>
      <c r="D674" s="17"/>
    </row>
    <row r="675" spans="2:4">
      <c r="B675" s="72"/>
      <c r="C675" s="16"/>
      <c r="D675" s="17"/>
    </row>
    <row r="676" spans="2:4">
      <c r="B676" s="72"/>
      <c r="C676" s="16"/>
      <c r="D676" s="17"/>
    </row>
    <row r="677" spans="2:4">
      <c r="B677" s="72"/>
      <c r="C677" s="16"/>
      <c r="D677" s="17"/>
    </row>
    <row r="678" spans="2:4">
      <c r="B678" s="72"/>
      <c r="C678" s="16"/>
      <c r="D678" s="17"/>
    </row>
    <row r="679" spans="2:4">
      <c r="B679" s="72"/>
      <c r="C679" s="16"/>
      <c r="D679" s="17"/>
    </row>
    <row r="680" spans="2:4">
      <c r="B680" s="72"/>
      <c r="C680" s="16"/>
      <c r="D680" s="17"/>
    </row>
    <row r="681" spans="2:4">
      <c r="B681" s="72"/>
      <c r="C681" s="16"/>
      <c r="D681" s="17"/>
    </row>
    <row r="682" spans="2:4">
      <c r="B682" s="72"/>
      <c r="C682" s="16"/>
      <c r="D682" s="17"/>
    </row>
    <row r="683" spans="2:4">
      <c r="B683" s="72"/>
      <c r="C683" s="16"/>
      <c r="D683" s="17"/>
    </row>
    <row r="684" spans="2:4">
      <c r="B684" s="72"/>
      <c r="C684" s="16"/>
      <c r="D684" s="17"/>
    </row>
    <row r="685" spans="2:4">
      <c r="B685" s="72"/>
      <c r="C685" s="16"/>
      <c r="D685" s="17"/>
    </row>
    <row r="686" spans="2:4">
      <c r="B686" s="72"/>
      <c r="C686" s="16"/>
      <c r="D686" s="17"/>
    </row>
    <row r="687" spans="2:4">
      <c r="B687" s="72"/>
      <c r="C687" s="16"/>
      <c r="D687" s="17"/>
    </row>
    <row r="688" spans="2:4">
      <c r="B688" s="72"/>
      <c r="C688" s="16"/>
      <c r="D688" s="17"/>
    </row>
    <row r="689" spans="2:4">
      <c r="B689" s="72"/>
      <c r="C689" s="16"/>
      <c r="D689" s="17"/>
    </row>
    <row r="690" spans="2:4">
      <c r="B690" s="72"/>
      <c r="C690" s="16"/>
      <c r="D690" s="17"/>
    </row>
    <row r="691" spans="2:4">
      <c r="B691" s="72"/>
      <c r="C691" s="16"/>
      <c r="D691" s="17"/>
    </row>
    <row r="692" spans="2:4">
      <c r="B692" s="72"/>
      <c r="C692" s="16"/>
      <c r="D692" s="17"/>
    </row>
    <row r="693" spans="2:4">
      <c r="B693" s="72"/>
      <c r="C693" s="16"/>
      <c r="D693" s="17"/>
    </row>
    <row r="694" spans="2:4">
      <c r="B694" s="72"/>
      <c r="C694" s="16"/>
      <c r="D694" s="17"/>
    </row>
    <row r="695" spans="2:4">
      <c r="B695" s="72"/>
      <c r="C695" s="16"/>
      <c r="D695" s="17"/>
    </row>
    <row r="696" spans="2:4">
      <c r="B696" s="72"/>
      <c r="C696" s="16"/>
      <c r="D696" s="17"/>
    </row>
    <row r="697" spans="2:4">
      <c r="B697" s="72"/>
      <c r="C697" s="16"/>
      <c r="D697" s="17"/>
    </row>
    <row r="698" spans="2:4">
      <c r="B698" s="72"/>
      <c r="C698" s="16"/>
      <c r="D698" s="17"/>
    </row>
    <row r="699" spans="2:4">
      <c r="B699" s="72"/>
      <c r="C699" s="16"/>
      <c r="D699" s="17"/>
    </row>
    <row r="700" spans="2:4">
      <c r="B700" s="72"/>
      <c r="C700" s="16"/>
      <c r="D700" s="17"/>
    </row>
    <row r="701" spans="2:4">
      <c r="B701" s="72"/>
      <c r="C701" s="16"/>
      <c r="D701" s="17"/>
    </row>
    <row r="702" spans="2:4">
      <c r="B702" s="72"/>
      <c r="C702" s="16"/>
      <c r="D702" s="17"/>
    </row>
    <row r="703" spans="2:4">
      <c r="B703" s="72"/>
      <c r="C703" s="16"/>
      <c r="D703" s="17"/>
    </row>
    <row r="704" spans="2:4">
      <c r="B704" s="72"/>
      <c r="C704" s="16"/>
      <c r="D704" s="17"/>
    </row>
    <row r="705" spans="2:4">
      <c r="B705" s="72"/>
      <c r="C705" s="16"/>
      <c r="D705" s="17"/>
    </row>
    <row r="706" spans="2:4">
      <c r="B706" s="72"/>
      <c r="C706" s="16"/>
      <c r="D706" s="17"/>
    </row>
    <row r="707" spans="2:4">
      <c r="B707" s="72"/>
      <c r="C707" s="16"/>
      <c r="D707" s="17"/>
    </row>
    <row r="708" spans="2:4">
      <c r="B708" s="72"/>
      <c r="C708" s="16"/>
      <c r="D708" s="17"/>
    </row>
    <row r="709" spans="2:4">
      <c r="B709" s="72"/>
      <c r="C709" s="16"/>
      <c r="D709" s="17"/>
    </row>
    <row r="710" spans="2:4">
      <c r="B710" s="72"/>
      <c r="C710" s="16"/>
      <c r="D710" s="17"/>
    </row>
    <row r="711" spans="2:4">
      <c r="B711" s="72"/>
      <c r="C711" s="16"/>
      <c r="D711" s="17"/>
    </row>
    <row r="712" spans="2:4">
      <c r="B712" s="72"/>
      <c r="C712" s="16"/>
      <c r="D712" s="17"/>
    </row>
    <row r="713" spans="2:4">
      <c r="B713" s="72"/>
      <c r="C713" s="16"/>
      <c r="D713" s="17"/>
    </row>
    <row r="714" spans="2:4">
      <c r="B714" s="72"/>
      <c r="C714" s="16"/>
      <c r="D714" s="17"/>
    </row>
    <row r="715" spans="2:4">
      <c r="B715" s="72"/>
      <c r="C715" s="16"/>
      <c r="D715" s="17"/>
    </row>
    <row r="716" spans="2:4">
      <c r="B716" s="72"/>
      <c r="C716" s="16"/>
      <c r="D716" s="17"/>
    </row>
    <row r="717" spans="2:4">
      <c r="B717" s="72"/>
      <c r="C717" s="16"/>
      <c r="D717" s="17"/>
    </row>
    <row r="718" spans="2:4">
      <c r="B718" s="72"/>
      <c r="C718" s="16"/>
      <c r="D718" s="17"/>
    </row>
    <row r="719" spans="2:4">
      <c r="B719" s="72"/>
      <c r="C719" s="16"/>
      <c r="D719" s="17"/>
    </row>
    <row r="720" spans="2:4">
      <c r="B720" s="72"/>
      <c r="C720" s="16"/>
      <c r="D720" s="17"/>
    </row>
    <row r="721" spans="2:4">
      <c r="B721" s="72"/>
      <c r="C721" s="16"/>
      <c r="D721" s="17"/>
    </row>
    <row r="722" spans="2:4">
      <c r="B722" s="72"/>
      <c r="C722" s="16"/>
      <c r="D722" s="17"/>
    </row>
    <row r="723" spans="2:4">
      <c r="B723" s="72"/>
      <c r="C723" s="16"/>
      <c r="D723" s="17"/>
    </row>
    <row r="724" spans="2:4">
      <c r="B724" s="72"/>
      <c r="C724" s="16"/>
      <c r="D724" s="17"/>
    </row>
    <row r="725" spans="2:4">
      <c r="B725" s="72"/>
      <c r="C725" s="16"/>
      <c r="D725" s="17"/>
    </row>
    <row r="726" spans="2:4">
      <c r="B726" s="72"/>
      <c r="C726" s="16"/>
      <c r="D726" s="17"/>
    </row>
    <row r="727" spans="2:4">
      <c r="B727" s="72"/>
      <c r="C727" s="16"/>
      <c r="D727" s="17"/>
    </row>
    <row r="728" spans="2:4">
      <c r="B728" s="72"/>
      <c r="C728" s="16"/>
      <c r="D728" s="17"/>
    </row>
    <row r="729" spans="2:4">
      <c r="B729" s="72"/>
      <c r="C729" s="16"/>
      <c r="D729" s="17"/>
    </row>
    <row r="730" spans="2:4">
      <c r="B730" s="72"/>
      <c r="C730" s="16"/>
      <c r="D730" s="17"/>
    </row>
    <row r="731" spans="2:4">
      <c r="B731" s="72"/>
      <c r="C731" s="16"/>
      <c r="D731" s="17"/>
    </row>
    <row r="732" spans="2:4">
      <c r="B732" s="72"/>
      <c r="C732" s="16"/>
      <c r="D732" s="17"/>
    </row>
    <row r="733" spans="2:4">
      <c r="B733" s="72"/>
      <c r="C733" s="16"/>
      <c r="D733" s="17"/>
    </row>
    <row r="734" spans="2:4">
      <c r="B734" s="72"/>
      <c r="C734" s="16"/>
      <c r="D734" s="17"/>
    </row>
    <row r="735" spans="2:4">
      <c r="B735" s="72"/>
      <c r="C735" s="16"/>
      <c r="D735" s="17"/>
    </row>
    <row r="736" spans="2:4">
      <c r="B736" s="72"/>
      <c r="C736" s="16"/>
      <c r="D736" s="17"/>
    </row>
    <row r="737" spans="2:4">
      <c r="B737" s="72"/>
      <c r="C737" s="16"/>
      <c r="D737" s="17"/>
    </row>
    <row r="738" spans="2:4">
      <c r="B738" s="72"/>
      <c r="C738" s="16"/>
      <c r="D738" s="17"/>
    </row>
    <row r="739" spans="2:4">
      <c r="B739" s="72"/>
      <c r="C739" s="16"/>
      <c r="D739" s="17"/>
    </row>
    <row r="740" spans="2:4">
      <c r="B740" s="72"/>
      <c r="C740" s="16"/>
      <c r="D740" s="17"/>
    </row>
    <row r="741" spans="2:4">
      <c r="B741" s="72"/>
      <c r="C741" s="16"/>
      <c r="D741" s="17"/>
    </row>
    <row r="742" spans="2:4">
      <c r="B742" s="72"/>
      <c r="C742" s="16"/>
      <c r="D742" s="17"/>
    </row>
    <row r="743" spans="2:4">
      <c r="B743" s="72"/>
      <c r="C743" s="16"/>
      <c r="D743" s="17"/>
    </row>
    <row r="744" spans="2:4">
      <c r="B744" s="72"/>
      <c r="C744" s="16"/>
      <c r="D744" s="17"/>
    </row>
    <row r="745" spans="2:4">
      <c r="B745" s="72"/>
      <c r="C745" s="16"/>
      <c r="D745" s="17"/>
    </row>
    <row r="746" spans="2:4">
      <c r="B746" s="72"/>
      <c r="C746" s="16"/>
      <c r="D746" s="17"/>
    </row>
    <row r="747" spans="2:4">
      <c r="B747" s="72"/>
      <c r="C747" s="16"/>
      <c r="D747" s="17"/>
    </row>
    <row r="748" spans="2:4">
      <c r="B748" s="72"/>
      <c r="C748" s="16"/>
      <c r="D748" s="17"/>
    </row>
    <row r="749" spans="2:4">
      <c r="B749" s="72"/>
      <c r="C749" s="16"/>
      <c r="D749" s="17"/>
    </row>
    <row r="750" spans="2:4">
      <c r="B750" s="72"/>
      <c r="C750" s="16"/>
      <c r="D750" s="17"/>
    </row>
    <row r="751" spans="2:4">
      <c r="B751" s="72"/>
      <c r="C751" s="16"/>
      <c r="D751" s="17"/>
    </row>
    <row r="752" spans="2:4">
      <c r="B752" s="72"/>
      <c r="C752" s="16"/>
      <c r="D752" s="17"/>
    </row>
    <row r="753" spans="2:4">
      <c r="B753" s="72"/>
      <c r="C753" s="16"/>
      <c r="D753" s="17"/>
    </row>
    <row r="754" spans="2:4">
      <c r="B754" s="72"/>
      <c r="C754" s="16"/>
      <c r="D754" s="17"/>
    </row>
    <row r="755" spans="2:4">
      <c r="B755" s="72"/>
      <c r="C755" s="16"/>
      <c r="D755" s="17"/>
    </row>
    <row r="756" spans="2:4">
      <c r="B756" s="72"/>
      <c r="C756" s="16"/>
      <c r="D756" s="17"/>
    </row>
    <row r="757" spans="2:4">
      <c r="B757" s="72"/>
      <c r="C757" s="16"/>
      <c r="D757" s="17"/>
    </row>
    <row r="758" spans="2:4">
      <c r="B758" s="72"/>
      <c r="C758" s="16"/>
      <c r="D758" s="17"/>
    </row>
    <row r="759" spans="2:4">
      <c r="B759" s="72"/>
      <c r="C759" s="16"/>
      <c r="D759" s="17"/>
    </row>
    <row r="760" spans="2:4">
      <c r="B760" s="72"/>
      <c r="C760" s="16"/>
      <c r="D760" s="17"/>
    </row>
    <row r="761" spans="2:4">
      <c r="B761" s="72"/>
      <c r="C761" s="16"/>
      <c r="D761" s="17"/>
    </row>
    <row r="762" spans="2:4">
      <c r="B762" s="72"/>
      <c r="C762" s="16"/>
      <c r="D762" s="17"/>
    </row>
    <row r="763" spans="2:4">
      <c r="B763" s="72"/>
      <c r="C763" s="16"/>
      <c r="D763" s="17"/>
    </row>
    <row r="764" spans="2:4">
      <c r="B764" s="72"/>
      <c r="C764" s="16"/>
      <c r="D764" s="17"/>
    </row>
    <row r="765" spans="2:4">
      <c r="B765" s="72"/>
      <c r="C765" s="16"/>
      <c r="D765" s="17"/>
    </row>
    <row r="766" spans="2:4">
      <c r="B766" s="72"/>
      <c r="C766" s="16"/>
      <c r="D766" s="17"/>
    </row>
    <row r="767" spans="2:4">
      <c r="B767" s="72"/>
      <c r="C767" s="16"/>
      <c r="D767" s="17"/>
    </row>
    <row r="768" spans="2:4">
      <c r="B768" s="72"/>
      <c r="C768" s="16"/>
      <c r="D768" s="17"/>
    </row>
    <row r="769" spans="2:4">
      <c r="B769" s="72"/>
      <c r="C769" s="16"/>
      <c r="D769" s="17"/>
    </row>
    <row r="770" spans="2:4">
      <c r="B770" s="72"/>
      <c r="C770" s="16"/>
      <c r="D770" s="17"/>
    </row>
    <row r="771" spans="2:4">
      <c r="B771" s="72"/>
      <c r="C771" s="16"/>
      <c r="D771" s="17"/>
    </row>
    <row r="772" spans="2:4">
      <c r="B772" s="72"/>
      <c r="C772" s="16"/>
      <c r="D772" s="17"/>
    </row>
    <row r="773" spans="2:4">
      <c r="B773" s="72"/>
      <c r="C773" s="16"/>
      <c r="D773" s="17"/>
    </row>
    <row r="774" spans="2:4">
      <c r="B774" s="72"/>
      <c r="C774" s="16"/>
      <c r="D774" s="17"/>
    </row>
    <row r="775" spans="2:4">
      <c r="B775" s="72"/>
      <c r="C775" s="16"/>
      <c r="D775" s="17"/>
    </row>
    <row r="776" spans="2:4">
      <c r="B776" s="72"/>
      <c r="C776" s="16"/>
      <c r="D776" s="17"/>
    </row>
    <row r="777" spans="2:4">
      <c r="B777" s="72"/>
      <c r="C777" s="16"/>
      <c r="D777" s="17"/>
    </row>
    <row r="778" spans="2:4">
      <c r="B778" s="72"/>
      <c r="C778" s="16"/>
      <c r="D778" s="17"/>
    </row>
    <row r="779" spans="2:4">
      <c r="B779" s="72"/>
      <c r="C779" s="16"/>
      <c r="D779" s="17"/>
    </row>
    <row r="780" spans="2:4">
      <c r="B780" s="72"/>
      <c r="C780" s="16"/>
      <c r="D780" s="17"/>
    </row>
    <row r="781" spans="2:4">
      <c r="B781" s="72"/>
      <c r="C781" s="16"/>
      <c r="D781" s="17"/>
    </row>
    <row r="782" spans="2:4">
      <c r="B782" s="72"/>
      <c r="C782" s="16"/>
      <c r="D782" s="17"/>
    </row>
    <row r="783" spans="2:4">
      <c r="B783" s="72"/>
      <c r="C783" s="16"/>
      <c r="D783" s="17"/>
    </row>
    <row r="784" spans="2:4">
      <c r="B784" s="72"/>
      <c r="C784" s="16"/>
      <c r="D784" s="17"/>
    </row>
    <row r="785" spans="2:4">
      <c r="B785" s="72"/>
      <c r="C785" s="16"/>
      <c r="D785" s="17"/>
    </row>
    <row r="786" spans="2:4">
      <c r="B786" s="72"/>
      <c r="C786" s="16"/>
      <c r="D786" s="17"/>
    </row>
    <row r="787" spans="2:4">
      <c r="B787" s="72"/>
      <c r="C787" s="16"/>
      <c r="D787" s="17"/>
    </row>
    <row r="788" spans="2:4">
      <c r="B788" s="72"/>
      <c r="C788" s="16"/>
      <c r="D788" s="17"/>
    </row>
    <row r="789" spans="2:4">
      <c r="B789" s="72"/>
      <c r="C789" s="16"/>
      <c r="D789" s="17"/>
    </row>
    <row r="790" spans="2:4">
      <c r="B790" s="72"/>
      <c r="C790" s="16"/>
      <c r="D790" s="17"/>
    </row>
    <row r="791" spans="2:4">
      <c r="B791" s="72"/>
      <c r="C791" s="16"/>
      <c r="D791" s="17"/>
    </row>
    <row r="792" spans="2:4">
      <c r="B792" s="72"/>
      <c r="C792" s="16"/>
      <c r="D792" s="17"/>
    </row>
    <row r="793" spans="2:4">
      <c r="B793" s="72"/>
      <c r="C793" s="16"/>
      <c r="D793" s="17"/>
    </row>
    <row r="794" spans="2:4">
      <c r="B794" s="72"/>
      <c r="C794" s="16"/>
      <c r="D794" s="17"/>
    </row>
    <row r="795" spans="2:4">
      <c r="B795" s="72"/>
      <c r="C795" s="16"/>
      <c r="D795" s="17"/>
    </row>
    <row r="796" spans="2:4">
      <c r="B796" s="72"/>
      <c r="C796" s="16"/>
      <c r="D796" s="17"/>
    </row>
    <row r="797" spans="2:4">
      <c r="B797" s="72"/>
      <c r="C797" s="16"/>
      <c r="D797" s="17"/>
    </row>
    <row r="798" spans="2:4">
      <c r="B798" s="72"/>
      <c r="C798" s="16"/>
      <c r="D798" s="17"/>
    </row>
    <row r="799" spans="2:4">
      <c r="B799" s="72"/>
      <c r="C799" s="16"/>
      <c r="D799" s="17"/>
    </row>
    <row r="800" spans="2:4">
      <c r="B800" s="72"/>
      <c r="C800" s="16"/>
      <c r="D800" s="17"/>
    </row>
    <row r="801" spans="2:4">
      <c r="B801" s="72"/>
      <c r="C801" s="16"/>
      <c r="D801" s="17"/>
    </row>
    <row r="802" spans="2:4">
      <c r="B802" s="72"/>
      <c r="C802" s="16"/>
      <c r="D802" s="17"/>
    </row>
    <row r="803" spans="2:4">
      <c r="B803" s="72"/>
      <c r="C803" s="16"/>
      <c r="D803" s="17"/>
    </row>
    <row r="804" spans="2:4">
      <c r="B804" s="72"/>
      <c r="C804" s="16"/>
      <c r="D804" s="17"/>
    </row>
    <row r="805" spans="2:4">
      <c r="B805" s="72"/>
      <c r="C805" s="16"/>
      <c r="D805" s="17"/>
    </row>
    <row r="806" spans="2:4">
      <c r="B806" s="72"/>
      <c r="C806" s="16"/>
      <c r="D806" s="17"/>
    </row>
    <row r="807" spans="2:4">
      <c r="B807" s="72"/>
      <c r="C807" s="16"/>
      <c r="D807" s="17"/>
    </row>
    <row r="808" spans="2:4">
      <c r="B808" s="72"/>
      <c r="C808" s="16"/>
      <c r="D808" s="17"/>
    </row>
    <row r="809" spans="2:4">
      <c r="B809" s="72"/>
      <c r="C809" s="16"/>
      <c r="D809" s="17"/>
    </row>
    <row r="810" spans="2:4">
      <c r="B810" s="72"/>
      <c r="C810" s="16"/>
      <c r="D810" s="17"/>
    </row>
    <row r="811" spans="2:4">
      <c r="B811" s="72"/>
      <c r="C811" s="16"/>
      <c r="D811" s="17"/>
    </row>
    <row r="812" spans="2:4">
      <c r="B812" s="72"/>
      <c r="C812" s="16"/>
      <c r="D812" s="17"/>
    </row>
    <row r="813" spans="2:4">
      <c r="B813" s="72"/>
      <c r="C813" s="16"/>
      <c r="D813" s="17"/>
    </row>
    <row r="814" spans="2:4">
      <c r="B814" s="72"/>
      <c r="C814" s="16"/>
      <c r="D814" s="17"/>
    </row>
    <row r="815" spans="2:4">
      <c r="B815" s="72"/>
      <c r="C815" s="16"/>
      <c r="D815" s="17"/>
    </row>
    <row r="816" spans="2:4">
      <c r="B816" s="72"/>
      <c r="C816" s="16"/>
      <c r="D816" s="17"/>
    </row>
    <row r="817" spans="2:4">
      <c r="B817" s="72"/>
      <c r="C817" s="16"/>
      <c r="D817" s="17"/>
    </row>
    <row r="818" spans="2:4">
      <c r="B818" s="72"/>
      <c r="C818" s="16"/>
      <c r="D818" s="17"/>
    </row>
    <row r="819" spans="2:4">
      <c r="B819" s="72"/>
      <c r="C819" s="16"/>
      <c r="D819" s="17"/>
    </row>
    <row r="820" spans="2:4">
      <c r="B820" s="72"/>
      <c r="C820" s="16"/>
      <c r="D820" s="17"/>
    </row>
    <row r="821" spans="2:4">
      <c r="B821" s="72"/>
      <c r="C821" s="16"/>
      <c r="D821" s="17"/>
    </row>
    <row r="822" spans="2:4">
      <c r="B822" s="72"/>
      <c r="C822" s="16"/>
      <c r="D822" s="17"/>
    </row>
    <row r="823" spans="2:4">
      <c r="B823" s="72"/>
      <c r="C823" s="16"/>
      <c r="D823" s="17"/>
    </row>
    <row r="824" spans="2:4">
      <c r="B824" s="72"/>
      <c r="C824" s="16"/>
      <c r="D824" s="17"/>
    </row>
    <row r="825" spans="2:4">
      <c r="B825" s="72"/>
      <c r="C825" s="16"/>
      <c r="D825" s="17"/>
    </row>
    <row r="826" spans="2:4">
      <c r="B826" s="72"/>
      <c r="C826" s="16"/>
      <c r="D826" s="17"/>
    </row>
    <row r="827" spans="2:4">
      <c r="B827" s="72"/>
      <c r="C827" s="16"/>
      <c r="D827" s="17"/>
    </row>
    <row r="828" spans="2:4">
      <c r="B828" s="72"/>
      <c r="C828" s="16"/>
      <c r="D828" s="17"/>
    </row>
    <row r="829" spans="2:4">
      <c r="B829" s="72"/>
      <c r="C829" s="16"/>
      <c r="D829" s="17"/>
    </row>
    <row r="830" spans="2:4">
      <c r="B830" s="72"/>
      <c r="C830" s="16"/>
      <c r="D830" s="17"/>
    </row>
    <row r="831" spans="2:4">
      <c r="B831" s="72"/>
      <c r="C831" s="16"/>
      <c r="D831" s="17"/>
    </row>
    <row r="832" spans="2:4">
      <c r="B832" s="72"/>
      <c r="C832" s="16"/>
      <c r="D832" s="17"/>
    </row>
    <row r="833" spans="2:4">
      <c r="B833" s="72"/>
      <c r="C833" s="16"/>
      <c r="D833" s="17"/>
    </row>
    <row r="834" spans="2:4">
      <c r="B834" s="72"/>
      <c r="C834" s="16"/>
      <c r="D834" s="17"/>
    </row>
    <row r="835" spans="2:4">
      <c r="B835" s="72"/>
      <c r="C835" s="16"/>
      <c r="D835" s="17"/>
    </row>
    <row r="836" spans="2:4">
      <c r="B836" s="72"/>
      <c r="C836" s="16"/>
      <c r="D836" s="17"/>
    </row>
    <row r="837" spans="2:4">
      <c r="B837" s="72"/>
      <c r="C837" s="16"/>
      <c r="D837" s="17"/>
    </row>
    <row r="838" spans="2:4">
      <c r="B838" s="72"/>
      <c r="C838" s="16"/>
      <c r="D838" s="17"/>
    </row>
    <row r="839" spans="2:4">
      <c r="B839" s="72"/>
      <c r="C839" s="16"/>
      <c r="D839" s="17"/>
    </row>
    <row r="840" spans="2:4">
      <c r="B840" s="72"/>
      <c r="C840" s="16"/>
      <c r="D840" s="17"/>
    </row>
    <row r="841" spans="2:4">
      <c r="B841" s="72"/>
      <c r="C841" s="16"/>
      <c r="D841" s="17"/>
    </row>
    <row r="842" spans="2:4">
      <c r="B842" s="72"/>
      <c r="C842" s="16"/>
      <c r="D842" s="17"/>
    </row>
    <row r="843" spans="2:4">
      <c r="B843" s="72"/>
      <c r="C843" s="16"/>
      <c r="D843" s="17"/>
    </row>
    <row r="844" spans="2:4">
      <c r="B844" s="72"/>
      <c r="C844" s="16"/>
      <c r="D844" s="17"/>
    </row>
    <row r="845" spans="2:4">
      <c r="B845" s="72"/>
      <c r="C845" s="16"/>
      <c r="D845" s="17"/>
    </row>
    <row r="846" spans="2:4">
      <c r="B846" s="72"/>
      <c r="C846" s="16"/>
      <c r="D846" s="17"/>
    </row>
    <row r="847" spans="2:4">
      <c r="B847" s="72"/>
      <c r="C847" s="16"/>
      <c r="D847" s="17"/>
    </row>
    <row r="848" spans="2:4">
      <c r="B848" s="72"/>
      <c r="C848" s="16"/>
      <c r="D848" s="17"/>
    </row>
    <row r="849" spans="2:4">
      <c r="B849" s="72"/>
      <c r="C849" s="16"/>
      <c r="D849" s="17"/>
    </row>
    <row r="850" spans="2:4">
      <c r="B850" s="72"/>
      <c r="C850" s="16"/>
      <c r="D850" s="17"/>
    </row>
    <row r="851" spans="2:4">
      <c r="B851" s="72"/>
      <c r="C851" s="16"/>
      <c r="D851" s="17"/>
    </row>
    <row r="852" spans="2:4">
      <c r="B852" s="72"/>
      <c r="C852" s="16"/>
      <c r="D852" s="17"/>
    </row>
    <row r="853" spans="2:4">
      <c r="B853" s="72"/>
      <c r="C853" s="16"/>
      <c r="D853" s="17"/>
    </row>
    <row r="854" spans="2:4">
      <c r="B854" s="72"/>
      <c r="C854" s="16"/>
      <c r="D854" s="17"/>
    </row>
    <row r="855" spans="2:4">
      <c r="B855" s="72"/>
      <c r="C855" s="16"/>
      <c r="D855" s="17"/>
    </row>
    <row r="856" spans="2:4">
      <c r="B856" s="72"/>
      <c r="C856" s="16"/>
      <c r="D856" s="17"/>
    </row>
    <row r="857" spans="2:4">
      <c r="B857" s="72"/>
      <c r="C857" s="16"/>
      <c r="D857" s="17"/>
    </row>
    <row r="858" spans="2:4">
      <c r="B858" s="72"/>
      <c r="C858" s="16"/>
      <c r="D858" s="17"/>
    </row>
    <row r="859" spans="2:4">
      <c r="B859" s="72"/>
      <c r="C859" s="16"/>
      <c r="D859" s="17"/>
    </row>
    <row r="860" spans="2:4">
      <c r="B860" s="72"/>
      <c r="C860" s="16"/>
      <c r="D860" s="17"/>
    </row>
    <row r="861" spans="2:4">
      <c r="B861" s="72"/>
      <c r="C861" s="16"/>
      <c r="D861" s="17"/>
    </row>
    <row r="862" spans="2:4">
      <c r="B862" s="72"/>
      <c r="C862" s="16"/>
      <c r="D862" s="17"/>
    </row>
    <row r="863" spans="2:4">
      <c r="B863" s="72"/>
      <c r="C863" s="16"/>
      <c r="D863" s="17"/>
    </row>
    <row r="864" spans="2:4">
      <c r="B864" s="72"/>
      <c r="C864" s="16"/>
      <c r="D864" s="17"/>
    </row>
    <row r="865" spans="2:4">
      <c r="B865" s="72"/>
      <c r="C865" s="16"/>
      <c r="D865" s="17"/>
    </row>
    <row r="866" spans="2:4">
      <c r="B866" s="72"/>
      <c r="C866" s="16"/>
      <c r="D866" s="17"/>
    </row>
    <row r="867" spans="2:4">
      <c r="B867" s="72"/>
      <c r="C867" s="16"/>
      <c r="D867" s="17"/>
    </row>
    <row r="868" spans="2:4">
      <c r="B868" s="72"/>
      <c r="C868" s="16"/>
      <c r="D868" s="17"/>
    </row>
    <row r="869" spans="2:4">
      <c r="B869" s="72"/>
      <c r="C869" s="16"/>
      <c r="D869" s="17"/>
    </row>
    <row r="870" spans="2:4">
      <c r="B870" s="72"/>
      <c r="C870" s="16"/>
      <c r="D870" s="17"/>
    </row>
    <row r="871" spans="2:4">
      <c r="B871" s="72"/>
      <c r="C871" s="16"/>
      <c r="D871" s="17"/>
    </row>
    <row r="872" spans="2:4">
      <c r="B872" s="72"/>
      <c r="C872" s="16"/>
      <c r="D872" s="17"/>
    </row>
    <row r="873" spans="2:4">
      <c r="B873" s="72"/>
      <c r="C873" s="16"/>
      <c r="D873" s="17"/>
    </row>
    <row r="874" spans="2:4">
      <c r="B874" s="72"/>
      <c r="C874" s="16"/>
      <c r="D874" s="17"/>
    </row>
    <row r="875" spans="2:4">
      <c r="B875" s="72"/>
      <c r="C875" s="16"/>
      <c r="D875" s="17"/>
    </row>
    <row r="876" spans="2:4">
      <c r="B876" s="72"/>
      <c r="C876" s="16"/>
      <c r="D876" s="17"/>
    </row>
    <row r="877" spans="2:4">
      <c r="B877" s="72"/>
      <c r="C877" s="16"/>
      <c r="D877" s="17"/>
    </row>
    <row r="878" spans="2:4">
      <c r="B878" s="72"/>
      <c r="C878" s="16"/>
      <c r="D878" s="17"/>
    </row>
    <row r="879" spans="2:4">
      <c r="B879" s="72"/>
      <c r="C879" s="16"/>
      <c r="D879" s="17"/>
    </row>
    <row r="880" spans="2:4">
      <c r="B880" s="72"/>
      <c r="C880" s="16"/>
      <c r="D880" s="17"/>
    </row>
    <row r="881" spans="2:4">
      <c r="B881" s="72"/>
      <c r="C881" s="16"/>
      <c r="D881" s="17"/>
    </row>
    <row r="882" spans="2:4">
      <c r="B882" s="72"/>
      <c r="C882" s="16"/>
      <c r="D882" s="17"/>
    </row>
    <row r="883" spans="2:4">
      <c r="B883" s="72"/>
      <c r="C883" s="16"/>
      <c r="D883" s="17"/>
    </row>
    <row r="884" spans="2:4">
      <c r="B884" s="72"/>
      <c r="C884" s="16"/>
      <c r="D884" s="17"/>
    </row>
    <row r="885" spans="2:4">
      <c r="B885" s="72"/>
      <c r="C885" s="16"/>
      <c r="D885" s="17"/>
    </row>
    <row r="886" spans="2:4">
      <c r="B886" s="72"/>
      <c r="C886" s="16"/>
      <c r="D886" s="17"/>
    </row>
    <row r="887" spans="2:4">
      <c r="B887" s="72"/>
      <c r="C887" s="16"/>
      <c r="D887" s="17"/>
    </row>
    <row r="888" spans="2:4">
      <c r="B888" s="72"/>
      <c r="C888" s="16"/>
      <c r="D888" s="17"/>
    </row>
    <row r="889" spans="2:4">
      <c r="B889" s="72"/>
      <c r="C889" s="16"/>
      <c r="D889" s="17"/>
    </row>
    <row r="890" spans="2:4">
      <c r="B890" s="72"/>
      <c r="C890" s="16"/>
      <c r="D890" s="17"/>
    </row>
    <row r="891" spans="2:4">
      <c r="B891" s="72"/>
      <c r="C891" s="16"/>
      <c r="D891" s="17"/>
    </row>
    <row r="892" spans="2:4">
      <c r="B892" s="72"/>
      <c r="C892" s="16"/>
      <c r="D892" s="17"/>
    </row>
    <row r="893" spans="2:4">
      <c r="B893" s="72"/>
      <c r="C893" s="16"/>
      <c r="D893" s="17"/>
    </row>
    <row r="894" spans="2:4">
      <c r="B894" s="72"/>
      <c r="C894" s="16"/>
      <c r="D894" s="17"/>
    </row>
    <row r="895" spans="2:4">
      <c r="B895" s="72"/>
      <c r="C895" s="16"/>
      <c r="D895" s="17"/>
    </row>
    <row r="896" spans="2:4">
      <c r="B896" s="72"/>
      <c r="C896" s="16"/>
      <c r="D896" s="17"/>
    </row>
    <row r="897" spans="2:4">
      <c r="B897" s="72"/>
      <c r="C897" s="16"/>
      <c r="D897" s="17"/>
    </row>
    <row r="898" spans="2:4">
      <c r="B898" s="72"/>
      <c r="C898" s="16"/>
      <c r="D898" s="17"/>
    </row>
    <row r="899" spans="2:4">
      <c r="B899" s="72"/>
      <c r="C899" s="16"/>
      <c r="D899" s="17"/>
    </row>
    <row r="900" spans="2:4">
      <c r="B900" s="72"/>
      <c r="C900" s="16"/>
      <c r="D900" s="17"/>
    </row>
    <row r="901" spans="2:4">
      <c r="B901" s="72"/>
      <c r="C901" s="16"/>
      <c r="D901" s="17"/>
    </row>
    <row r="902" spans="2:4">
      <c r="B902" s="72"/>
      <c r="C902" s="16"/>
      <c r="D902" s="17"/>
    </row>
    <row r="903" spans="2:4">
      <c r="B903" s="72"/>
      <c r="C903" s="16"/>
      <c r="D903" s="17"/>
    </row>
    <row r="904" spans="2:4">
      <c r="B904" s="72"/>
      <c r="C904" s="16"/>
      <c r="D904" s="17"/>
    </row>
    <row r="905" spans="2:4">
      <c r="B905" s="72"/>
      <c r="C905" s="16"/>
      <c r="D905" s="17"/>
    </row>
    <row r="906" spans="2:4">
      <c r="B906" s="72"/>
      <c r="C906" s="16"/>
      <c r="D906" s="17"/>
    </row>
    <row r="907" spans="2:4">
      <c r="B907" s="72"/>
      <c r="C907" s="16"/>
      <c r="D907" s="17"/>
    </row>
    <row r="908" spans="2:4">
      <c r="B908" s="72"/>
      <c r="C908" s="16"/>
      <c r="D908" s="17"/>
    </row>
    <row r="909" spans="2:4">
      <c r="B909" s="72"/>
      <c r="C909" s="16"/>
      <c r="D909" s="17"/>
    </row>
    <row r="910" spans="2:4">
      <c r="B910" s="72"/>
      <c r="C910" s="16"/>
      <c r="D910" s="17"/>
    </row>
    <row r="911" spans="2:4">
      <c r="B911" s="72"/>
      <c r="C911" s="16"/>
      <c r="D911" s="17"/>
    </row>
    <row r="912" spans="2:4">
      <c r="B912" s="72"/>
      <c r="C912" s="16"/>
      <c r="D912" s="17"/>
    </row>
    <row r="913" spans="2:4">
      <c r="B913" s="72"/>
      <c r="C913" s="16"/>
      <c r="D913" s="17"/>
    </row>
    <row r="914" spans="2:4">
      <c r="B914" s="72"/>
      <c r="C914" s="16"/>
      <c r="D914" s="17"/>
    </row>
    <row r="915" spans="2:4">
      <c r="B915" s="72"/>
      <c r="C915" s="16"/>
      <c r="D915" s="17"/>
    </row>
    <row r="916" spans="2:4">
      <c r="B916" s="72"/>
      <c r="C916" s="16"/>
      <c r="D916" s="17"/>
    </row>
    <row r="917" spans="2:4">
      <c r="B917" s="72"/>
      <c r="C917" s="16"/>
      <c r="D917" s="17"/>
    </row>
    <row r="918" spans="2:4">
      <c r="B918" s="72"/>
      <c r="C918" s="16"/>
      <c r="D918" s="17"/>
    </row>
    <row r="919" spans="2:4">
      <c r="B919" s="72"/>
      <c r="C919" s="16"/>
      <c r="D919" s="17"/>
    </row>
    <row r="920" spans="2:4">
      <c r="B920" s="72"/>
      <c r="C920" s="16"/>
      <c r="D920" s="17"/>
    </row>
    <row r="921" spans="2:4">
      <c r="B921" s="72"/>
      <c r="C921" s="16"/>
      <c r="D921" s="17"/>
    </row>
    <row r="922" spans="2:4">
      <c r="B922" s="72"/>
      <c r="C922" s="16"/>
      <c r="D922" s="17"/>
    </row>
    <row r="923" spans="2:4">
      <c r="B923" s="72"/>
      <c r="C923" s="16"/>
      <c r="D923" s="17"/>
    </row>
    <row r="924" spans="2:4">
      <c r="B924" s="72"/>
      <c r="C924" s="16"/>
      <c r="D924" s="17"/>
    </row>
    <row r="925" spans="2:4">
      <c r="B925" s="72"/>
      <c r="C925" s="16"/>
      <c r="D925" s="17"/>
    </row>
    <row r="926" spans="2:4">
      <c r="B926" s="72"/>
      <c r="C926" s="16"/>
      <c r="D926" s="17"/>
    </row>
    <row r="927" spans="2:4">
      <c r="B927" s="72"/>
      <c r="C927" s="16"/>
      <c r="D927" s="17"/>
    </row>
    <row r="928" spans="2:4">
      <c r="B928" s="72"/>
      <c r="C928" s="16"/>
      <c r="D928" s="17"/>
    </row>
    <row r="929" spans="2:4">
      <c r="B929" s="72"/>
      <c r="C929" s="16"/>
      <c r="D929" s="17"/>
    </row>
    <row r="930" spans="2:4">
      <c r="B930" s="72"/>
      <c r="C930" s="16"/>
      <c r="D930" s="17"/>
    </row>
    <row r="931" spans="2:4">
      <c r="B931" s="72"/>
      <c r="C931" s="16"/>
      <c r="D931" s="17"/>
    </row>
    <row r="932" spans="2:4">
      <c r="B932" s="72"/>
      <c r="C932" s="16"/>
      <c r="D932" s="17"/>
    </row>
    <row r="933" spans="2:4">
      <c r="B933" s="72"/>
      <c r="C933" s="16"/>
      <c r="D933" s="17"/>
    </row>
    <row r="934" spans="2:4">
      <c r="B934" s="72"/>
      <c r="C934" s="16"/>
      <c r="D934" s="17"/>
    </row>
    <row r="935" spans="2:4">
      <c r="B935" s="72"/>
      <c r="C935" s="16"/>
      <c r="D935" s="17"/>
    </row>
    <row r="936" spans="2:4">
      <c r="B936" s="72"/>
      <c r="C936" s="16"/>
      <c r="D936" s="17"/>
    </row>
    <row r="937" spans="2:4">
      <c r="B937" s="72"/>
      <c r="C937" s="16"/>
      <c r="D937" s="17"/>
    </row>
    <row r="938" spans="2:4">
      <c r="B938" s="72"/>
      <c r="C938" s="16"/>
      <c r="D938" s="17"/>
    </row>
    <row r="939" spans="2:4">
      <c r="B939" s="72"/>
      <c r="C939" s="16"/>
      <c r="D939" s="17"/>
    </row>
    <row r="940" spans="2:4">
      <c r="B940" s="72"/>
      <c r="C940" s="16"/>
      <c r="D940" s="17"/>
    </row>
    <row r="941" spans="2:4">
      <c r="B941" s="72"/>
      <c r="C941" s="16"/>
      <c r="D941" s="17"/>
    </row>
    <row r="942" spans="2:4">
      <c r="B942" s="72"/>
      <c r="C942" s="16"/>
      <c r="D942" s="17"/>
    </row>
    <row r="943" spans="2:4">
      <c r="B943" s="72"/>
      <c r="C943" s="16"/>
      <c r="D943" s="17"/>
    </row>
    <row r="944" spans="2:4">
      <c r="B944" s="72"/>
      <c r="C944" s="16"/>
      <c r="D944" s="17"/>
    </row>
    <row r="945" spans="2:4">
      <c r="B945" s="72"/>
      <c r="C945" s="16"/>
      <c r="D945" s="17"/>
    </row>
    <row r="946" spans="2:4">
      <c r="B946" s="72"/>
      <c r="C946" s="16"/>
      <c r="D946" s="17"/>
    </row>
    <row r="947" spans="2:4">
      <c r="B947" s="72"/>
      <c r="C947" s="16"/>
      <c r="D947" s="17"/>
    </row>
    <row r="948" spans="2:4">
      <c r="B948" s="72"/>
      <c r="C948" s="16"/>
      <c r="D948" s="17"/>
    </row>
    <row r="949" spans="2:4">
      <c r="B949" s="72"/>
      <c r="C949" s="16"/>
      <c r="D949" s="17"/>
    </row>
    <row r="950" spans="2:4">
      <c r="B950" s="72"/>
      <c r="C950" s="16"/>
      <c r="D950" s="17"/>
    </row>
    <row r="951" spans="2:4">
      <c r="B951" s="72"/>
      <c r="C951" s="16"/>
      <c r="D951" s="17"/>
    </row>
    <row r="952" spans="2:4">
      <c r="B952" s="72"/>
      <c r="C952" s="16"/>
      <c r="D952" s="17"/>
    </row>
    <row r="953" spans="2:4">
      <c r="B953" s="72"/>
      <c r="C953" s="16"/>
      <c r="D953" s="17"/>
    </row>
    <row r="954" spans="2:4">
      <c r="B954" s="72"/>
      <c r="C954" s="16"/>
      <c r="D954" s="17"/>
    </row>
    <row r="955" spans="2:4">
      <c r="B955" s="72"/>
      <c r="C955" s="16"/>
      <c r="D955" s="17"/>
    </row>
    <row r="956" spans="2:4">
      <c r="B956" s="72"/>
      <c r="C956" s="16"/>
      <c r="D956" s="17"/>
    </row>
    <row r="957" spans="2:4">
      <c r="B957" s="72"/>
      <c r="C957" s="16"/>
      <c r="D957" s="17"/>
    </row>
    <row r="958" spans="2:4">
      <c r="B958" s="72"/>
      <c r="C958" s="16"/>
      <c r="D958" s="17"/>
    </row>
    <row r="959" spans="2:4">
      <c r="B959" s="72"/>
      <c r="C959" s="16"/>
      <c r="D959" s="17"/>
    </row>
    <row r="960" spans="2:4">
      <c r="B960" s="72"/>
      <c r="C960" s="16"/>
      <c r="D960" s="17"/>
    </row>
    <row r="961" spans="2:4">
      <c r="B961" s="72"/>
      <c r="C961" s="16"/>
      <c r="D961" s="17"/>
    </row>
    <row r="962" spans="2:4">
      <c r="B962" s="72"/>
      <c r="C962" s="16"/>
      <c r="D962" s="17"/>
    </row>
    <row r="963" spans="2:4">
      <c r="B963" s="72"/>
      <c r="C963" s="16"/>
      <c r="D963" s="17"/>
    </row>
    <row r="964" spans="2:4">
      <c r="B964" s="72"/>
      <c r="C964" s="16"/>
      <c r="D964" s="17"/>
    </row>
    <row r="965" spans="2:4">
      <c r="B965" s="72"/>
      <c r="C965" s="16"/>
      <c r="D965" s="17"/>
    </row>
    <row r="966" spans="2:4">
      <c r="B966" s="72"/>
      <c r="C966" s="16"/>
      <c r="D966" s="17"/>
    </row>
    <row r="967" spans="2:4">
      <c r="B967" s="72"/>
      <c r="C967" s="16"/>
      <c r="D967" s="17"/>
    </row>
    <row r="968" spans="2:4">
      <c r="B968" s="72"/>
      <c r="C968" s="16"/>
      <c r="D968" s="17"/>
    </row>
    <row r="969" spans="2:4">
      <c r="B969" s="72"/>
      <c r="C969" s="16"/>
      <c r="D969" s="17"/>
    </row>
    <row r="970" spans="2:4">
      <c r="B970" s="72"/>
      <c r="C970" s="16"/>
      <c r="D970" s="17"/>
    </row>
    <row r="971" spans="2:4">
      <c r="B971" s="72"/>
      <c r="C971" s="16"/>
      <c r="D971" s="17"/>
    </row>
    <row r="972" spans="2:4">
      <c r="B972" s="72"/>
      <c r="C972" s="16"/>
      <c r="D972" s="17"/>
    </row>
    <row r="973" spans="2:4">
      <c r="B973" s="72"/>
      <c r="C973" s="16"/>
      <c r="D973" s="17"/>
    </row>
    <row r="974" spans="2:4">
      <c r="B974" s="72"/>
      <c r="C974" s="16"/>
      <c r="D974" s="17"/>
    </row>
    <row r="975" spans="2:4">
      <c r="B975" s="72"/>
      <c r="C975" s="16"/>
      <c r="D975" s="17"/>
    </row>
    <row r="976" spans="2:4">
      <c r="B976" s="72"/>
      <c r="C976" s="16"/>
      <c r="D976" s="17"/>
    </row>
    <row r="977" spans="2:4">
      <c r="B977" s="72"/>
      <c r="C977" s="16"/>
      <c r="D977" s="17"/>
    </row>
    <row r="978" spans="2:4">
      <c r="B978" s="72"/>
      <c r="C978" s="16"/>
      <c r="D978" s="17"/>
    </row>
    <row r="979" spans="2:4">
      <c r="B979" s="72"/>
      <c r="C979" s="16"/>
      <c r="D979" s="17"/>
    </row>
    <row r="980" spans="2:4">
      <c r="B980" s="72"/>
      <c r="C980" s="16"/>
      <c r="D980" s="17"/>
    </row>
    <row r="981" spans="2:4">
      <c r="B981" s="72"/>
      <c r="C981" s="16"/>
      <c r="D981" s="17"/>
    </row>
    <row r="982" spans="2:4">
      <c r="B982" s="72"/>
      <c r="C982" s="16"/>
      <c r="D982" s="17"/>
    </row>
    <row r="983" spans="2:4">
      <c r="B983" s="72"/>
      <c r="C983" s="16"/>
      <c r="D983" s="17"/>
    </row>
    <row r="984" spans="2:4">
      <c r="B984" s="72"/>
      <c r="C984" s="16"/>
      <c r="D984" s="17"/>
    </row>
    <row r="985" spans="2:4">
      <c r="B985" s="72"/>
      <c r="C985" s="16"/>
      <c r="D985" s="17"/>
    </row>
    <row r="986" spans="2:4">
      <c r="B986" s="72"/>
      <c r="C986" s="16"/>
      <c r="D986" s="17"/>
    </row>
    <row r="987" spans="2:4">
      <c r="B987" s="72"/>
      <c r="C987" s="16"/>
      <c r="D987" s="17"/>
    </row>
    <row r="988" spans="2:4">
      <c r="B988" s="72"/>
      <c r="C988" s="16"/>
      <c r="D988" s="17"/>
    </row>
    <row r="989" spans="2:4">
      <c r="B989" s="72"/>
      <c r="C989" s="16"/>
      <c r="D989" s="17"/>
    </row>
    <row r="990" spans="2:4">
      <c r="B990" s="72"/>
      <c r="C990" s="16"/>
      <c r="D990" s="17"/>
    </row>
    <row r="991" spans="2:4">
      <c r="B991" s="72"/>
      <c r="C991" s="16"/>
      <c r="D991" s="17"/>
    </row>
    <row r="992" spans="2:4">
      <c r="B992" s="72"/>
      <c r="C992" s="16"/>
      <c r="D992" s="17"/>
    </row>
    <row r="993" spans="2:4">
      <c r="B993" s="72"/>
      <c r="C993" s="16"/>
      <c r="D993" s="17"/>
    </row>
    <row r="994" spans="2:4">
      <c r="B994" s="72"/>
      <c r="C994" s="16"/>
      <c r="D994" s="17"/>
    </row>
    <row r="995" spans="2:4">
      <c r="B995" s="72"/>
      <c r="C995" s="16"/>
      <c r="D995" s="17"/>
    </row>
    <row r="996" spans="2:4">
      <c r="B996" s="72"/>
      <c r="C996" s="16"/>
      <c r="D996" s="17"/>
    </row>
    <row r="997" spans="2:4">
      <c r="B997" s="72"/>
      <c r="C997" s="16"/>
      <c r="D997" s="17"/>
    </row>
    <row r="998" spans="2:4">
      <c r="B998" s="72"/>
      <c r="C998" s="16"/>
      <c r="D998" s="17"/>
    </row>
    <row r="999" spans="2:4">
      <c r="B999" s="72"/>
      <c r="C999" s="16"/>
      <c r="D999" s="17"/>
    </row>
    <row r="1000" spans="2:4">
      <c r="B1000" s="72"/>
      <c r="C1000" s="16"/>
      <c r="D1000" s="17"/>
    </row>
  </sheetData>
  <mergeCells count="1">
    <mergeCell ref="B2:C2"/>
  </mergeCells>
  <pageMargins left="0.7" right="0.7" top="0.75" bottom="0.75" header="0.3" footer="0.3"/>
  <pageSetup scale="65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66A1E5-2170-48ED-8DE1-BB22B5E16840}">
          <x14:formula1>
            <xm:f>Data.EnterInfo!$H$7:$H$56</xm:f>
          </x14:formula1>
          <xm:sqref>F5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0810C-641F-406D-B884-4F1A3F05D0B6}">
  <sheetPr codeName="Sheet5">
    <pageSetUpPr fitToPage="1"/>
  </sheetPr>
  <dimension ref="A2:AC1000"/>
  <sheetViews>
    <sheetView tabSelected="1" zoomScale="60" zoomScaleNormal="60" workbookViewId="0">
      <selection activeCell="M24" sqref="A1:M24"/>
    </sheetView>
  </sheetViews>
  <sheetFormatPr baseColWidth="10" defaultColWidth="11.83203125" defaultRowHeight="15"/>
  <cols>
    <col min="1" max="1" width="2.5" customWidth="1"/>
    <col min="2" max="2" width="13.5" style="72" customWidth="1"/>
    <col min="3" max="3" width="11.83203125" style="9"/>
    <col min="4" max="4" width="19.5" style="9" customWidth="1"/>
    <col min="5" max="5" width="19.33203125" style="9" customWidth="1"/>
    <col min="6" max="6" width="22" style="15" customWidth="1"/>
    <col min="7" max="7" width="24.33203125" style="9" customWidth="1"/>
    <col min="8" max="8" width="24.6640625" style="9" customWidth="1"/>
    <col min="9" max="9" width="14.83203125" style="9" customWidth="1"/>
    <col min="10" max="10" width="11.83203125" style="9"/>
    <col min="12" max="12" width="10.83203125" style="12" customWidth="1"/>
    <col min="13" max="16384" width="11.83203125" style="9"/>
  </cols>
  <sheetData>
    <row r="2" spans="1:29" ht="15" customHeight="1">
      <c r="B2" s="98" t="s">
        <v>460</v>
      </c>
      <c r="C2" s="98"/>
      <c r="D2" s="98"/>
    </row>
    <row r="3" spans="1:29">
      <c r="C3" s="16"/>
      <c r="D3" s="17"/>
    </row>
    <row r="4" spans="1:29" s="19" customFormat="1">
      <c r="A4"/>
      <c r="B4" s="20" t="s">
        <v>455</v>
      </c>
      <c r="C4" s="20" t="s">
        <v>15</v>
      </c>
      <c r="D4" s="20" t="s">
        <v>451</v>
      </c>
      <c r="E4" s="20" t="s">
        <v>23</v>
      </c>
      <c r="F4" s="22" t="s">
        <v>21</v>
      </c>
      <c r="G4" s="20" t="s">
        <v>22</v>
      </c>
      <c r="H4" s="20" t="s">
        <v>434</v>
      </c>
      <c r="I4" s="20" t="s">
        <v>435</v>
      </c>
      <c r="J4" s="20" t="s">
        <v>2</v>
      </c>
      <c r="K4" s="20" t="s">
        <v>479</v>
      </c>
      <c r="L4" s="69" t="s">
        <v>462</v>
      </c>
    </row>
    <row r="5" spans="1:29">
      <c r="B5" s="72">
        <v>5795</v>
      </c>
      <c r="C5" s="13" t="s">
        <v>537</v>
      </c>
      <c r="D5" s="13" t="s">
        <v>428</v>
      </c>
      <c r="E5" s="13" t="s">
        <v>532</v>
      </c>
      <c r="F5" s="12">
        <v>6318809085</v>
      </c>
      <c r="G5" s="13" t="s">
        <v>538</v>
      </c>
      <c r="H5" s="13" t="s">
        <v>539</v>
      </c>
      <c r="I5" s="13" t="s">
        <v>540</v>
      </c>
      <c r="J5" s="13" t="s">
        <v>531</v>
      </c>
      <c r="K5" s="13" t="s">
        <v>530</v>
      </c>
      <c r="L5" s="12">
        <v>11741</v>
      </c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</row>
    <row r="6" spans="1:29">
      <c r="A6" s="1"/>
      <c r="C6" s="13"/>
      <c r="D6" s="13"/>
      <c r="E6" s="13"/>
      <c r="F6" s="13"/>
      <c r="G6" s="13"/>
      <c r="H6" s="13"/>
      <c r="I6" s="13"/>
      <c r="J6" s="13"/>
      <c r="K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</row>
    <row r="7" spans="1:29">
      <c r="C7" s="13"/>
      <c r="D7" s="13"/>
      <c r="E7" s="13"/>
      <c r="F7" s="13"/>
      <c r="G7" s="13"/>
      <c r="H7" s="13"/>
      <c r="I7" s="13"/>
      <c r="J7" s="13"/>
      <c r="K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</row>
    <row r="8" spans="1:29">
      <c r="C8" s="13"/>
      <c r="D8" s="13"/>
      <c r="E8" s="13"/>
      <c r="F8" s="13"/>
      <c r="G8" s="13"/>
      <c r="H8" s="13"/>
      <c r="I8" s="13"/>
      <c r="J8" s="13"/>
      <c r="K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</row>
    <row r="9" spans="1:29">
      <c r="C9" s="13"/>
      <c r="D9" s="13"/>
      <c r="E9" s="13"/>
      <c r="F9" s="13"/>
      <c r="G9" s="13"/>
      <c r="H9" s="13"/>
      <c r="I9" s="13"/>
      <c r="J9" s="13"/>
      <c r="K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</row>
    <row r="10" spans="1:29">
      <c r="C10" s="13"/>
      <c r="D10" s="13"/>
      <c r="E10" s="13"/>
      <c r="F10" s="13"/>
      <c r="G10" s="13"/>
      <c r="H10" s="13"/>
      <c r="I10" s="13"/>
      <c r="J10" s="13"/>
      <c r="K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</row>
    <row r="11" spans="1:29">
      <c r="C11" s="13"/>
      <c r="D11" s="13"/>
      <c r="E11" s="13"/>
      <c r="F11" s="13"/>
      <c r="G11" s="13"/>
      <c r="H11" s="13"/>
      <c r="I11" s="13"/>
      <c r="J11" s="13"/>
      <c r="K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</row>
    <row r="12" spans="1:29">
      <c r="C12" s="13"/>
      <c r="D12" s="13"/>
      <c r="E12" s="13"/>
      <c r="F12" s="13"/>
      <c r="G12" s="13"/>
      <c r="H12" s="13"/>
      <c r="I12" s="13"/>
      <c r="J12" s="13"/>
      <c r="K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</row>
    <row r="13" spans="1:29">
      <c r="C13" s="13"/>
      <c r="D13" s="13"/>
      <c r="E13" s="13"/>
      <c r="F13" s="13"/>
      <c r="G13" s="13"/>
      <c r="H13" s="13"/>
      <c r="I13" s="13"/>
      <c r="J13" s="13"/>
      <c r="K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</row>
    <row r="14" spans="1:29">
      <c r="C14" s="13"/>
      <c r="D14" s="13"/>
      <c r="E14" s="13"/>
      <c r="F14" s="13"/>
      <c r="G14" s="13"/>
      <c r="H14" s="13"/>
      <c r="I14" s="13"/>
      <c r="J14" s="13"/>
      <c r="K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</row>
    <row r="15" spans="1:29">
      <c r="C15" s="13"/>
      <c r="D15" s="13"/>
      <c r="E15" s="13"/>
      <c r="F15" s="13"/>
      <c r="H15" s="13"/>
      <c r="I15" s="13"/>
      <c r="J15" s="13"/>
      <c r="K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</row>
    <row r="16" spans="1:29">
      <c r="C16" s="13"/>
      <c r="D16" s="13"/>
      <c r="E16" s="13"/>
      <c r="F16" s="13"/>
      <c r="G16" s="13"/>
      <c r="H16" s="13"/>
      <c r="I16" s="13"/>
      <c r="J16" s="13"/>
      <c r="K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</row>
    <row r="17" spans="3:29">
      <c r="C17" s="13"/>
      <c r="D17" s="13"/>
      <c r="E17" s="13"/>
      <c r="F17" s="13"/>
      <c r="G17" s="13"/>
      <c r="H17" s="13"/>
      <c r="I17" s="13"/>
      <c r="J17" s="13"/>
      <c r="K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</row>
    <row r="18" spans="3:29">
      <c r="C18" s="13"/>
      <c r="D18" s="13"/>
      <c r="E18" s="13"/>
      <c r="F18" s="13"/>
      <c r="G18" s="13"/>
      <c r="H18" s="13"/>
      <c r="I18" s="13"/>
      <c r="J18" s="13"/>
      <c r="K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</row>
    <row r="19" spans="3:29">
      <c r="C19" s="13"/>
      <c r="D19" s="13"/>
      <c r="E19" s="13"/>
      <c r="F19" s="13"/>
      <c r="G19" s="13"/>
      <c r="H19" s="13"/>
      <c r="I19" s="13"/>
      <c r="J19" s="13"/>
      <c r="K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</row>
    <row r="20" spans="3:29">
      <c r="C20" s="13"/>
      <c r="D20" s="13"/>
      <c r="E20" s="13"/>
      <c r="F20" s="13"/>
      <c r="G20" s="13"/>
      <c r="H20" s="13"/>
      <c r="I20" s="13"/>
      <c r="J20" s="13"/>
      <c r="K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</row>
    <row r="21" spans="3:29">
      <c r="C21" s="13"/>
      <c r="D21" s="13"/>
      <c r="E21" s="13"/>
      <c r="F21" s="13"/>
      <c r="G21" s="13"/>
      <c r="H21" s="13"/>
      <c r="I21" s="13"/>
      <c r="J21" s="13"/>
      <c r="K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</row>
    <row r="22" spans="3:29">
      <c r="C22" s="13"/>
      <c r="D22" s="13"/>
      <c r="E22" s="13"/>
      <c r="F22" s="13"/>
      <c r="G22" s="13"/>
      <c r="H22" s="13"/>
      <c r="I22" s="13"/>
      <c r="J22" s="13"/>
      <c r="K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</row>
    <row r="23" spans="3:29">
      <c r="C23" s="13"/>
      <c r="D23" s="13"/>
      <c r="E23" s="13"/>
      <c r="F23" s="13"/>
      <c r="G23" s="13"/>
      <c r="H23" s="13"/>
      <c r="I23" s="13"/>
      <c r="J23" s="13"/>
      <c r="K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</row>
    <row r="24" spans="3:29">
      <c r="C24" s="13"/>
      <c r="D24" s="13"/>
      <c r="E24" s="13"/>
      <c r="F24" s="13"/>
      <c r="G24" s="13"/>
      <c r="H24" s="13"/>
      <c r="I24" s="13"/>
      <c r="J24" s="13"/>
      <c r="K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</row>
    <row r="25" spans="3:29">
      <c r="C25" s="13"/>
      <c r="D25" s="13"/>
      <c r="E25" s="13"/>
      <c r="F25" s="13"/>
      <c r="G25" s="13"/>
      <c r="H25" s="13"/>
      <c r="I25" s="13"/>
      <c r="J25" s="13"/>
      <c r="K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</row>
    <row r="26" spans="3:29">
      <c r="C26" s="13"/>
      <c r="D26" s="13"/>
      <c r="E26" s="13"/>
      <c r="F26" s="13"/>
      <c r="G26" s="13"/>
      <c r="H26" s="13"/>
      <c r="I26" s="13"/>
      <c r="J26" s="13"/>
      <c r="K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</row>
    <row r="27" spans="3:29">
      <c r="C27" s="13"/>
      <c r="D27" s="13"/>
      <c r="E27" s="13"/>
      <c r="F27" s="13"/>
      <c r="G27" s="13"/>
      <c r="H27" s="13"/>
      <c r="I27" s="13"/>
      <c r="J27" s="13"/>
      <c r="K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</row>
    <row r="28" spans="3:29">
      <c r="C28" s="13"/>
      <c r="D28" s="13"/>
      <c r="E28" s="13"/>
      <c r="F28" s="13"/>
      <c r="G28" s="13"/>
      <c r="H28" s="13"/>
      <c r="I28" s="13"/>
      <c r="J28" s="13"/>
      <c r="K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</row>
    <row r="29" spans="3:29">
      <c r="C29" s="13"/>
      <c r="D29" s="13"/>
      <c r="E29" s="13"/>
      <c r="F29" s="13"/>
      <c r="G29" s="13"/>
      <c r="H29" s="13"/>
      <c r="I29" s="13"/>
      <c r="J29" s="13"/>
      <c r="K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</row>
    <row r="30" spans="3:29">
      <c r="C30" s="13"/>
      <c r="D30" s="13"/>
      <c r="E30" s="13"/>
      <c r="F30" s="13"/>
      <c r="G30" s="13"/>
      <c r="H30" s="13"/>
      <c r="I30" s="13"/>
      <c r="J30" s="13"/>
      <c r="K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</row>
    <row r="31" spans="3:29">
      <c r="C31" s="13"/>
      <c r="D31" s="13"/>
      <c r="E31" s="13"/>
      <c r="F31" s="13"/>
      <c r="G31" s="13"/>
      <c r="H31" s="13"/>
      <c r="I31" s="13"/>
      <c r="J31" s="13"/>
      <c r="K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</row>
    <row r="32" spans="3:29">
      <c r="C32" s="13"/>
      <c r="D32" s="13"/>
      <c r="E32" s="13"/>
      <c r="F32" s="13"/>
      <c r="G32" s="13"/>
      <c r="H32" s="13"/>
      <c r="I32" s="13"/>
      <c r="J32" s="13"/>
      <c r="K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</row>
    <row r="33" spans="3:29">
      <c r="C33" s="13"/>
      <c r="D33" s="13"/>
      <c r="E33" s="13"/>
      <c r="F33" s="13"/>
      <c r="G33" s="13"/>
      <c r="H33" s="13"/>
      <c r="I33" s="13"/>
      <c r="J33" s="13"/>
      <c r="K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</row>
    <row r="34" spans="3:29">
      <c r="C34" s="13"/>
      <c r="D34" s="13"/>
      <c r="E34" s="13"/>
      <c r="F34" s="13"/>
      <c r="G34" s="13"/>
      <c r="H34" s="13"/>
      <c r="I34" s="13"/>
      <c r="J34" s="13"/>
      <c r="K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</row>
    <row r="35" spans="3:29">
      <c r="C35" s="13"/>
      <c r="D35" s="13"/>
      <c r="E35" s="13"/>
      <c r="F35" s="13"/>
      <c r="G35" s="13"/>
      <c r="H35" s="13"/>
      <c r="I35" s="13"/>
      <c r="J35" s="13"/>
      <c r="K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</row>
    <row r="36" spans="3:29">
      <c r="C36" s="13"/>
      <c r="D36" s="13"/>
      <c r="E36" s="13"/>
      <c r="F36" s="13"/>
      <c r="G36" s="13"/>
      <c r="H36" s="13"/>
      <c r="I36" s="13"/>
      <c r="J36" s="13"/>
      <c r="K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</row>
    <row r="37" spans="3:29">
      <c r="C37" s="13"/>
      <c r="D37" s="13"/>
      <c r="E37" s="13"/>
      <c r="F37" s="13"/>
      <c r="G37" s="13"/>
      <c r="H37" s="13"/>
      <c r="I37" s="13"/>
      <c r="J37" s="13"/>
      <c r="K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</row>
    <row r="38" spans="3:29">
      <c r="C38" s="13"/>
      <c r="D38" s="13"/>
      <c r="E38" s="13"/>
      <c r="F38" s="13"/>
      <c r="G38" s="13"/>
      <c r="H38" s="13"/>
      <c r="I38" s="13"/>
      <c r="J38" s="13"/>
      <c r="K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</row>
    <row r="39" spans="3:29">
      <c r="C39" s="13"/>
      <c r="D39" s="13"/>
      <c r="E39" s="13"/>
      <c r="F39" s="13"/>
      <c r="G39" s="13"/>
      <c r="H39" s="13"/>
      <c r="I39" s="13"/>
      <c r="J39" s="13"/>
      <c r="K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</row>
    <row r="40" spans="3:29">
      <c r="C40" s="13"/>
      <c r="D40" s="13"/>
      <c r="E40" s="13"/>
      <c r="F40" s="13"/>
      <c r="G40" s="13"/>
      <c r="H40" s="13"/>
      <c r="I40" s="13"/>
      <c r="J40" s="13"/>
      <c r="K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</row>
    <row r="41" spans="3:29">
      <c r="C41" s="13"/>
      <c r="D41" s="13"/>
      <c r="E41" s="13"/>
      <c r="F41" s="13"/>
      <c r="G41" s="13"/>
      <c r="H41" s="13"/>
      <c r="I41" s="13"/>
      <c r="J41" s="13"/>
      <c r="K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</row>
    <row r="42" spans="3:29">
      <c r="C42" s="13"/>
      <c r="D42" s="13"/>
      <c r="E42" s="13"/>
      <c r="F42" s="13"/>
      <c r="G42" s="13"/>
      <c r="H42" s="13"/>
      <c r="I42" s="13"/>
      <c r="J42" s="13"/>
      <c r="K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</row>
    <row r="43" spans="3:29">
      <c r="C43" s="13"/>
      <c r="D43" s="13"/>
      <c r="E43" s="13"/>
      <c r="F43" s="13"/>
      <c r="G43" s="13"/>
      <c r="H43" s="13"/>
      <c r="I43" s="13"/>
      <c r="J43" s="13"/>
      <c r="K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</row>
    <row r="44" spans="3:29">
      <c r="C44" s="13"/>
      <c r="D44" s="13"/>
      <c r="E44" s="13"/>
      <c r="F44" s="13"/>
      <c r="G44" s="13"/>
      <c r="H44" s="13"/>
      <c r="I44" s="13"/>
      <c r="J44" s="13"/>
      <c r="K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</row>
    <row r="45" spans="3:29">
      <c r="C45" s="13"/>
      <c r="D45" s="13"/>
      <c r="E45" s="13"/>
      <c r="F45" s="13"/>
      <c r="G45" s="13"/>
      <c r="H45" s="13"/>
      <c r="I45" s="13"/>
      <c r="J45" s="13"/>
      <c r="K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</row>
    <row r="46" spans="3:29">
      <c r="C46" s="13"/>
      <c r="D46" s="13"/>
      <c r="E46" s="13"/>
      <c r="F46" s="13"/>
      <c r="G46" s="13"/>
      <c r="H46" s="13"/>
      <c r="I46" s="13"/>
      <c r="J46" s="13"/>
      <c r="K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</row>
    <row r="47" spans="3:29">
      <c r="C47" s="13"/>
      <c r="D47" s="13"/>
      <c r="E47" s="13"/>
      <c r="F47" s="13"/>
      <c r="G47" s="13"/>
      <c r="H47" s="13"/>
      <c r="I47" s="13"/>
      <c r="J47" s="13"/>
      <c r="K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</row>
    <row r="48" spans="3:29">
      <c r="C48" s="13"/>
      <c r="D48" s="13"/>
      <c r="E48" s="13"/>
      <c r="F48" s="13"/>
      <c r="G48" s="13"/>
      <c r="H48" s="13"/>
      <c r="I48" s="13"/>
      <c r="J48" s="13"/>
      <c r="K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</row>
    <row r="49" spans="3:29">
      <c r="C49" s="13"/>
      <c r="D49" s="13"/>
      <c r="E49" s="13"/>
      <c r="F49" s="13"/>
      <c r="G49" s="13"/>
      <c r="H49" s="13"/>
      <c r="I49" s="13"/>
      <c r="J49" s="13"/>
      <c r="K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</row>
    <row r="50" spans="3:29">
      <c r="C50" s="13"/>
      <c r="D50" s="13"/>
      <c r="E50" s="13"/>
      <c r="F50" s="13"/>
      <c r="G50" s="13"/>
      <c r="H50" s="13"/>
      <c r="I50" s="13"/>
      <c r="J50" s="13"/>
      <c r="K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</row>
    <row r="51" spans="3:29">
      <c r="C51" s="13"/>
      <c r="D51" s="13"/>
      <c r="E51" s="13"/>
      <c r="F51" s="13"/>
      <c r="G51" s="13"/>
      <c r="H51" s="13"/>
      <c r="I51" s="13"/>
      <c r="J51" s="13"/>
      <c r="K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</row>
    <row r="52" spans="3:29">
      <c r="C52" s="13"/>
      <c r="D52" s="13"/>
      <c r="E52" s="13"/>
      <c r="F52" s="13"/>
      <c r="G52" s="13"/>
      <c r="H52" s="13"/>
      <c r="I52" s="13"/>
      <c r="J52" s="13"/>
      <c r="K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</row>
    <row r="53" spans="3:29">
      <c r="C53" s="13"/>
      <c r="D53" s="13"/>
      <c r="E53" s="13"/>
      <c r="F53" s="13"/>
      <c r="G53" s="13"/>
      <c r="H53" s="13"/>
      <c r="I53" s="13"/>
      <c r="J53" s="13"/>
      <c r="K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</row>
    <row r="54" spans="3:29">
      <c r="C54" s="13"/>
      <c r="D54" s="13"/>
      <c r="E54" s="13"/>
      <c r="F54" s="13"/>
      <c r="G54" s="13"/>
      <c r="H54" s="13"/>
      <c r="I54" s="13"/>
      <c r="J54" s="13"/>
      <c r="K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</row>
    <row r="55" spans="3:29">
      <c r="C55" s="13"/>
      <c r="D55" s="13"/>
      <c r="E55" s="13"/>
      <c r="F55" s="13"/>
      <c r="G55" s="13"/>
      <c r="H55" s="13"/>
      <c r="I55" s="13"/>
      <c r="J55" s="13"/>
      <c r="K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</row>
    <row r="56" spans="3:29">
      <c r="C56" s="13"/>
      <c r="D56" s="13"/>
      <c r="E56" s="13"/>
      <c r="F56" s="13"/>
      <c r="G56" s="13"/>
      <c r="H56" s="13"/>
      <c r="I56" s="13"/>
      <c r="J56" s="13"/>
      <c r="K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</row>
    <row r="57" spans="3:29">
      <c r="C57" s="13"/>
      <c r="D57" s="13"/>
      <c r="E57" s="13"/>
      <c r="F57" s="13"/>
      <c r="G57" s="13"/>
      <c r="H57" s="13"/>
      <c r="I57" s="13"/>
      <c r="J57" s="13"/>
      <c r="K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</row>
    <row r="58" spans="3:29">
      <c r="C58" s="13"/>
      <c r="D58" s="13"/>
      <c r="E58" s="13"/>
      <c r="F58" s="13"/>
      <c r="G58" s="13"/>
      <c r="H58" s="13"/>
      <c r="I58" s="13"/>
      <c r="J58" s="13"/>
      <c r="K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</row>
    <row r="59" spans="3:29">
      <c r="C59" s="13"/>
      <c r="D59" s="13"/>
      <c r="E59" s="13"/>
      <c r="F59" s="13"/>
      <c r="G59" s="13"/>
      <c r="H59" s="13"/>
      <c r="I59" s="13"/>
      <c r="J59" s="13"/>
      <c r="K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</row>
    <row r="60" spans="3:29">
      <c r="C60" s="13"/>
      <c r="D60" s="13"/>
      <c r="E60" s="13"/>
      <c r="F60" s="13"/>
      <c r="G60" s="13"/>
      <c r="H60" s="13"/>
      <c r="I60" s="13"/>
      <c r="J60" s="13"/>
      <c r="K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</row>
    <row r="61" spans="3:29">
      <c r="C61" s="13"/>
      <c r="D61" s="13"/>
      <c r="E61" s="13"/>
      <c r="F61" s="13"/>
      <c r="G61" s="13"/>
      <c r="H61" s="13"/>
      <c r="I61" s="13"/>
      <c r="J61" s="13"/>
      <c r="K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</row>
    <row r="62" spans="3:29">
      <c r="C62" s="13"/>
      <c r="D62" s="13"/>
      <c r="E62" s="13"/>
      <c r="F62" s="13"/>
      <c r="G62" s="13"/>
      <c r="H62" s="13"/>
      <c r="I62" s="13"/>
      <c r="J62" s="13"/>
      <c r="K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</row>
    <row r="63" spans="3:29">
      <c r="C63" s="13"/>
      <c r="D63" s="13"/>
      <c r="E63" s="13"/>
      <c r="F63" s="13"/>
      <c r="G63" s="13"/>
      <c r="H63" s="13"/>
      <c r="I63" s="13"/>
      <c r="J63" s="13"/>
      <c r="K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</row>
    <row r="64" spans="3:29">
      <c r="C64" s="13"/>
      <c r="D64" s="13"/>
      <c r="E64" s="13"/>
      <c r="F64" s="13"/>
      <c r="G64" s="13"/>
      <c r="H64" s="13"/>
      <c r="I64" s="13"/>
      <c r="J64" s="13"/>
      <c r="K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</row>
    <row r="65" spans="3:29">
      <c r="C65" s="13"/>
      <c r="D65" s="13"/>
      <c r="E65" s="13"/>
      <c r="F65" s="13"/>
      <c r="G65" s="13"/>
      <c r="H65" s="13"/>
      <c r="I65" s="13"/>
      <c r="J65" s="13"/>
      <c r="K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</row>
    <row r="66" spans="3:29">
      <c r="C66" s="13"/>
      <c r="D66" s="13"/>
      <c r="E66" s="13"/>
      <c r="F66" s="13"/>
      <c r="G66" s="13"/>
      <c r="H66" s="13"/>
      <c r="I66" s="13"/>
      <c r="J66" s="13"/>
      <c r="K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</row>
    <row r="67" spans="3:29">
      <c r="C67" s="13"/>
      <c r="D67" s="13"/>
      <c r="E67" s="13"/>
      <c r="F67" s="13"/>
      <c r="G67" s="13"/>
      <c r="H67" s="13"/>
      <c r="I67" s="13"/>
      <c r="J67" s="13"/>
      <c r="K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</row>
    <row r="68" spans="3:29">
      <c r="C68" s="13"/>
      <c r="D68" s="13"/>
      <c r="E68" s="13"/>
      <c r="F68" s="13"/>
      <c r="G68" s="13"/>
      <c r="H68" s="13"/>
      <c r="I68" s="13"/>
      <c r="J68" s="13"/>
      <c r="K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</row>
    <row r="69" spans="3:29">
      <c r="C69" s="13"/>
      <c r="D69" s="13"/>
      <c r="E69" s="13"/>
      <c r="F69" s="13"/>
      <c r="G69" s="13"/>
      <c r="H69" s="13"/>
      <c r="I69" s="13"/>
      <c r="J69" s="13"/>
      <c r="K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</row>
    <row r="70" spans="3:29">
      <c r="C70" s="13"/>
      <c r="D70" s="13"/>
      <c r="E70" s="13"/>
      <c r="F70" s="13"/>
      <c r="G70" s="13"/>
      <c r="H70" s="13"/>
      <c r="I70" s="13"/>
      <c r="J70" s="13"/>
      <c r="K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</row>
    <row r="71" spans="3:29">
      <c r="C71" s="13"/>
      <c r="D71" s="13"/>
      <c r="E71" s="13"/>
      <c r="F71" s="13"/>
      <c r="G71" s="13"/>
      <c r="H71" s="13"/>
      <c r="I71" s="13"/>
      <c r="J71" s="13"/>
      <c r="K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</row>
    <row r="72" spans="3:29">
      <c r="C72" s="13"/>
      <c r="D72" s="13"/>
      <c r="E72" s="13"/>
      <c r="F72" s="13"/>
      <c r="G72" s="13"/>
      <c r="H72" s="13"/>
      <c r="I72" s="13"/>
      <c r="J72" s="13"/>
      <c r="K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</row>
    <row r="73" spans="3:29">
      <c r="C73" s="13"/>
      <c r="D73" s="13"/>
      <c r="E73" s="13"/>
      <c r="F73" s="13"/>
      <c r="G73" s="13"/>
      <c r="H73" s="13"/>
      <c r="I73" s="13"/>
      <c r="J73" s="13"/>
      <c r="K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</row>
    <row r="74" spans="3:29">
      <c r="C74" s="13"/>
      <c r="D74" s="13"/>
      <c r="E74" s="13"/>
      <c r="F74" s="13"/>
      <c r="G74" s="13"/>
      <c r="H74" s="13"/>
      <c r="I74" s="13"/>
      <c r="J74" s="13"/>
      <c r="K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</row>
    <row r="75" spans="3:29">
      <c r="C75" s="13"/>
      <c r="D75" s="13"/>
      <c r="E75" s="13"/>
      <c r="F75" s="13"/>
      <c r="G75" s="13"/>
      <c r="H75" s="13"/>
      <c r="I75" s="13"/>
      <c r="J75" s="13"/>
      <c r="K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</row>
    <row r="76" spans="3:29">
      <c r="C76" s="13"/>
      <c r="D76" s="13"/>
      <c r="E76" s="13"/>
      <c r="F76" s="13"/>
      <c r="G76" s="13"/>
      <c r="H76" s="13"/>
      <c r="I76" s="13"/>
      <c r="J76" s="13"/>
      <c r="K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</row>
    <row r="77" spans="3:29">
      <c r="C77" s="13"/>
      <c r="D77" s="13"/>
      <c r="E77" s="13"/>
      <c r="F77" s="13"/>
      <c r="G77" s="13"/>
      <c r="H77" s="13"/>
      <c r="I77" s="13"/>
      <c r="J77" s="13"/>
      <c r="K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</row>
    <row r="78" spans="3:29">
      <c r="C78" s="13"/>
      <c r="D78" s="13"/>
      <c r="E78" s="13"/>
      <c r="F78" s="13"/>
      <c r="G78" s="13"/>
      <c r="H78" s="13"/>
      <c r="I78" s="13"/>
      <c r="J78" s="13"/>
      <c r="K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</row>
    <row r="79" spans="3:29">
      <c r="C79" s="13"/>
      <c r="D79" s="13"/>
      <c r="E79" s="13"/>
      <c r="F79" s="13"/>
      <c r="G79" s="13"/>
      <c r="H79" s="13"/>
      <c r="I79" s="13"/>
      <c r="J79" s="13"/>
      <c r="K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</row>
    <row r="80" spans="3:29">
      <c r="C80" s="13"/>
      <c r="D80" s="13"/>
      <c r="E80" s="13"/>
      <c r="F80" s="13"/>
      <c r="G80" s="13"/>
      <c r="H80" s="13"/>
      <c r="I80" s="13"/>
      <c r="J80" s="13"/>
      <c r="K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</row>
    <row r="81" spans="3:29">
      <c r="C81" s="13"/>
      <c r="D81" s="13"/>
      <c r="E81" s="13"/>
      <c r="F81" s="13"/>
      <c r="G81" s="13"/>
      <c r="H81" s="13"/>
      <c r="I81" s="13"/>
      <c r="J81" s="13"/>
      <c r="K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</row>
    <row r="82" spans="3:29">
      <c r="C82" s="13"/>
      <c r="D82" s="13"/>
      <c r="E82" s="13"/>
      <c r="F82" s="13"/>
      <c r="G82" s="13"/>
      <c r="H82" s="13"/>
      <c r="I82" s="13"/>
      <c r="J82" s="13"/>
      <c r="K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</row>
    <row r="83" spans="3:29">
      <c r="C83" s="13"/>
      <c r="D83" s="13"/>
      <c r="E83" s="13"/>
      <c r="F83" s="13"/>
      <c r="G83" s="13"/>
      <c r="H83" s="13"/>
      <c r="I83" s="13"/>
      <c r="J83" s="13"/>
      <c r="K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</row>
    <row r="84" spans="3:29">
      <c r="C84" s="13"/>
      <c r="D84" s="13"/>
      <c r="E84" s="13"/>
      <c r="F84" s="13"/>
      <c r="G84" s="13"/>
      <c r="H84" s="13"/>
      <c r="I84" s="13"/>
      <c r="J84" s="13"/>
      <c r="K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</row>
    <row r="85" spans="3:29">
      <c r="C85" s="13"/>
      <c r="D85" s="13"/>
      <c r="E85" s="13"/>
      <c r="F85" s="13"/>
      <c r="G85" s="13"/>
      <c r="H85" s="13"/>
      <c r="I85" s="13"/>
      <c r="J85" s="13"/>
      <c r="K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</row>
    <row r="86" spans="3:29">
      <c r="C86" s="13"/>
      <c r="D86" s="13"/>
      <c r="E86" s="13"/>
      <c r="F86" s="13"/>
      <c r="G86" s="13"/>
      <c r="H86" s="13"/>
      <c r="I86" s="13"/>
      <c r="J86" s="13"/>
      <c r="K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</row>
    <row r="87" spans="3:29">
      <c r="C87" s="13"/>
      <c r="D87" s="13"/>
      <c r="E87" s="13"/>
      <c r="F87" s="13"/>
      <c r="G87" s="13"/>
      <c r="H87" s="13"/>
      <c r="I87" s="13"/>
      <c r="J87" s="13"/>
      <c r="K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</row>
    <row r="88" spans="3:29">
      <c r="C88" s="13"/>
      <c r="D88" s="13"/>
      <c r="E88" s="13"/>
      <c r="F88" s="13"/>
      <c r="G88" s="13"/>
      <c r="H88" s="13"/>
      <c r="I88" s="13"/>
      <c r="J88" s="13"/>
      <c r="K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</row>
    <row r="89" spans="3:29">
      <c r="C89" s="13"/>
      <c r="D89" s="13"/>
      <c r="E89" s="13"/>
      <c r="F89" s="13"/>
      <c r="G89" s="13"/>
      <c r="H89" s="13"/>
      <c r="I89" s="13"/>
      <c r="J89" s="13"/>
      <c r="K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</row>
    <row r="90" spans="3:29">
      <c r="C90" s="13"/>
      <c r="D90" s="13"/>
      <c r="E90" s="13"/>
      <c r="F90" s="13"/>
      <c r="G90" s="13"/>
      <c r="H90" s="13"/>
      <c r="I90" s="13"/>
      <c r="J90" s="13"/>
      <c r="K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</row>
    <row r="91" spans="3:29">
      <c r="C91" s="13"/>
      <c r="D91" s="13"/>
      <c r="E91" s="13"/>
      <c r="F91" s="13"/>
      <c r="G91" s="13"/>
      <c r="H91" s="13"/>
      <c r="I91" s="13"/>
      <c r="J91" s="13"/>
      <c r="K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</row>
    <row r="92" spans="3:29">
      <c r="C92" s="13"/>
      <c r="D92" s="13"/>
      <c r="E92" s="13"/>
      <c r="F92" s="13"/>
      <c r="G92" s="13"/>
      <c r="H92" s="13"/>
      <c r="I92" s="13"/>
      <c r="J92" s="13"/>
      <c r="K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</row>
    <row r="93" spans="3:29">
      <c r="C93" s="13"/>
      <c r="D93" s="13"/>
      <c r="E93" s="13"/>
      <c r="F93" s="13"/>
      <c r="G93" s="13"/>
      <c r="H93" s="13"/>
      <c r="I93" s="13"/>
      <c r="J93" s="13"/>
      <c r="K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</row>
    <row r="94" spans="3:29">
      <c r="C94" s="13"/>
      <c r="D94" s="13"/>
      <c r="E94" s="13"/>
      <c r="F94" s="13"/>
      <c r="G94" s="13"/>
      <c r="H94" s="13"/>
      <c r="I94" s="13"/>
      <c r="J94" s="13"/>
      <c r="K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</row>
    <row r="95" spans="3:29">
      <c r="C95" s="13"/>
      <c r="D95" s="13"/>
      <c r="E95" s="13"/>
      <c r="F95" s="13"/>
      <c r="G95" s="13"/>
      <c r="H95" s="13"/>
      <c r="I95" s="13"/>
      <c r="J95" s="13"/>
      <c r="K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</row>
    <row r="96" spans="3:29">
      <c r="C96" s="13"/>
      <c r="D96" s="13"/>
      <c r="E96" s="13"/>
      <c r="F96" s="13"/>
      <c r="G96" s="13"/>
      <c r="H96" s="13"/>
      <c r="I96" s="13"/>
      <c r="J96" s="13"/>
      <c r="K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</row>
    <row r="97" spans="3:29">
      <c r="C97" s="13"/>
      <c r="D97" s="13"/>
      <c r="E97" s="13"/>
      <c r="F97" s="13"/>
      <c r="G97" s="13"/>
      <c r="H97" s="13"/>
      <c r="I97" s="13"/>
      <c r="J97" s="13"/>
      <c r="K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</row>
    <row r="98" spans="3:29">
      <c r="C98" s="13"/>
      <c r="D98" s="13"/>
      <c r="E98" s="13"/>
      <c r="F98" s="13"/>
      <c r="G98" s="13"/>
      <c r="H98" s="13"/>
      <c r="I98" s="13"/>
      <c r="J98" s="13"/>
      <c r="K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</row>
    <row r="99" spans="3:29">
      <c r="C99" s="13"/>
      <c r="D99" s="13"/>
      <c r="E99" s="13"/>
      <c r="F99" s="13"/>
      <c r="G99" s="13"/>
      <c r="H99" s="13"/>
      <c r="I99" s="13"/>
      <c r="J99" s="13"/>
      <c r="K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</row>
    <row r="100" spans="3:29">
      <c r="C100" s="13"/>
      <c r="D100" s="13"/>
      <c r="E100" s="13"/>
      <c r="F100" s="13"/>
      <c r="G100" s="13"/>
      <c r="H100" s="13"/>
      <c r="I100" s="13"/>
      <c r="J100" s="13"/>
      <c r="K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</row>
    <row r="101" spans="3:29">
      <c r="C101" s="13"/>
      <c r="D101" s="13"/>
      <c r="E101" s="13"/>
      <c r="F101" s="13"/>
      <c r="G101" s="13"/>
      <c r="H101" s="13"/>
      <c r="I101" s="13"/>
      <c r="J101" s="13"/>
      <c r="K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</row>
    <row r="102" spans="3:29">
      <c r="C102" s="13"/>
      <c r="D102" s="13"/>
      <c r="E102" s="13"/>
      <c r="F102" s="13"/>
      <c r="G102" s="13"/>
      <c r="H102" s="13"/>
      <c r="I102" s="13"/>
      <c r="J102" s="13"/>
      <c r="K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</row>
    <row r="103" spans="3:29">
      <c r="C103" s="13"/>
      <c r="D103" s="13"/>
      <c r="E103" s="13"/>
      <c r="F103" s="13"/>
      <c r="G103" s="13"/>
      <c r="H103" s="13"/>
      <c r="I103" s="13"/>
      <c r="J103" s="13"/>
      <c r="K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</row>
    <row r="104" spans="3:29">
      <c r="C104" s="13"/>
      <c r="D104" s="13"/>
      <c r="E104" s="13"/>
      <c r="F104" s="13"/>
      <c r="G104" s="13"/>
      <c r="H104" s="13"/>
      <c r="I104" s="13"/>
      <c r="J104" s="13"/>
      <c r="K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</row>
    <row r="105" spans="3:29">
      <c r="C105" s="13"/>
      <c r="D105" s="13"/>
      <c r="E105" s="13"/>
      <c r="F105" s="13"/>
      <c r="G105" s="13"/>
      <c r="H105" s="13"/>
      <c r="I105" s="13"/>
      <c r="J105" s="13"/>
      <c r="K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</row>
    <row r="106" spans="3:29">
      <c r="C106" s="13"/>
      <c r="D106" s="13"/>
      <c r="E106" s="13"/>
      <c r="F106" s="13"/>
      <c r="G106" s="13"/>
      <c r="H106" s="13"/>
      <c r="I106" s="13"/>
      <c r="J106" s="13"/>
      <c r="K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</row>
    <row r="107" spans="3:29">
      <c r="C107" s="13"/>
      <c r="D107" s="13"/>
      <c r="E107" s="13"/>
      <c r="F107" s="13"/>
      <c r="G107" s="13"/>
      <c r="H107" s="13"/>
      <c r="I107" s="13"/>
      <c r="J107" s="13"/>
      <c r="K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</row>
    <row r="108" spans="3:29">
      <c r="C108" s="13"/>
      <c r="D108" s="13"/>
      <c r="E108" s="13"/>
      <c r="F108" s="13"/>
      <c r="G108" s="13"/>
      <c r="H108" s="13"/>
      <c r="I108" s="13"/>
      <c r="J108" s="13"/>
      <c r="K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</row>
    <row r="109" spans="3:29">
      <c r="C109" s="13"/>
      <c r="D109" s="13"/>
      <c r="E109" s="13"/>
      <c r="F109" s="13"/>
      <c r="G109" s="13"/>
      <c r="H109" s="13"/>
      <c r="I109" s="13"/>
      <c r="J109" s="13"/>
      <c r="K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</row>
    <row r="110" spans="3:29">
      <c r="C110" s="13"/>
      <c r="D110" s="13"/>
      <c r="E110" s="13"/>
      <c r="F110" s="13"/>
      <c r="G110" s="13"/>
      <c r="H110" s="13"/>
      <c r="I110" s="13"/>
      <c r="J110" s="13"/>
      <c r="K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</row>
    <row r="111" spans="3:29">
      <c r="C111" s="13"/>
      <c r="D111" s="13"/>
      <c r="E111" s="13"/>
      <c r="F111" s="13"/>
      <c r="G111" s="13"/>
      <c r="H111" s="13"/>
      <c r="I111" s="13"/>
      <c r="J111" s="13"/>
      <c r="K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</row>
    <row r="112" spans="3:29">
      <c r="C112" s="13"/>
      <c r="D112" s="13"/>
      <c r="E112" s="13"/>
      <c r="F112" s="13"/>
      <c r="G112" s="13"/>
      <c r="H112" s="13"/>
      <c r="I112" s="13"/>
      <c r="J112" s="13"/>
      <c r="K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</row>
    <row r="113" spans="3:29">
      <c r="C113" s="13"/>
      <c r="D113" s="13"/>
      <c r="E113" s="13"/>
      <c r="F113" s="13"/>
      <c r="G113" s="13"/>
      <c r="H113" s="13"/>
      <c r="I113" s="13"/>
      <c r="J113" s="13"/>
      <c r="K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</row>
    <row r="114" spans="3:29">
      <c r="C114" s="13"/>
      <c r="D114" s="13"/>
      <c r="E114" s="13"/>
      <c r="F114" s="13"/>
      <c r="G114" s="13"/>
      <c r="H114" s="13"/>
      <c r="I114" s="13"/>
      <c r="J114" s="13"/>
      <c r="K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</row>
    <row r="115" spans="3:29">
      <c r="C115" s="13"/>
      <c r="D115" s="13"/>
      <c r="E115" s="13"/>
      <c r="F115" s="13"/>
      <c r="G115" s="13"/>
      <c r="H115" s="13"/>
      <c r="I115" s="13"/>
      <c r="J115" s="13"/>
      <c r="K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</row>
    <row r="116" spans="3:29">
      <c r="C116" s="13"/>
      <c r="D116" s="13"/>
      <c r="E116" s="13"/>
      <c r="F116" s="13"/>
      <c r="G116" s="13"/>
      <c r="H116" s="13"/>
      <c r="I116" s="13"/>
      <c r="J116" s="13"/>
      <c r="K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</row>
    <row r="117" spans="3:29">
      <c r="C117" s="13"/>
      <c r="D117" s="13"/>
      <c r="E117" s="13"/>
      <c r="F117" s="13"/>
      <c r="G117" s="13"/>
      <c r="H117" s="13"/>
      <c r="I117" s="13"/>
      <c r="J117" s="13"/>
      <c r="K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</row>
    <row r="118" spans="3:29">
      <c r="C118" s="13"/>
      <c r="D118" s="13"/>
      <c r="E118" s="13"/>
      <c r="F118" s="13"/>
      <c r="G118" s="13"/>
      <c r="H118" s="13"/>
      <c r="I118" s="13"/>
      <c r="J118" s="13"/>
      <c r="K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</row>
    <row r="119" spans="3:29">
      <c r="C119" s="13"/>
      <c r="D119" s="13"/>
      <c r="E119" s="13"/>
      <c r="F119" s="13"/>
      <c r="G119" s="13"/>
      <c r="H119" s="13"/>
      <c r="I119" s="13"/>
      <c r="J119" s="13"/>
      <c r="K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</row>
    <row r="120" spans="3:29">
      <c r="C120" s="13"/>
      <c r="D120" s="13"/>
      <c r="E120" s="13"/>
      <c r="F120" s="13"/>
      <c r="G120" s="13"/>
      <c r="H120" s="13"/>
      <c r="I120" s="13"/>
      <c r="J120" s="13"/>
      <c r="K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</row>
    <row r="121" spans="3:29">
      <c r="C121" s="13"/>
      <c r="D121" s="13"/>
      <c r="E121" s="13"/>
      <c r="F121" s="13"/>
      <c r="G121" s="13"/>
      <c r="H121" s="13"/>
      <c r="I121" s="13"/>
      <c r="J121" s="13"/>
      <c r="K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</row>
    <row r="122" spans="3:29">
      <c r="C122" s="13"/>
      <c r="D122" s="13"/>
      <c r="E122" s="13"/>
      <c r="F122" s="13"/>
      <c r="G122" s="13"/>
      <c r="H122" s="13"/>
      <c r="I122" s="13"/>
      <c r="J122" s="13"/>
      <c r="K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</row>
    <row r="123" spans="3:29">
      <c r="C123" s="13"/>
      <c r="D123" s="13"/>
      <c r="E123" s="13"/>
      <c r="F123" s="13"/>
      <c r="G123" s="13"/>
      <c r="H123" s="13"/>
      <c r="I123" s="13"/>
      <c r="J123" s="13"/>
      <c r="K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</row>
    <row r="124" spans="3:29">
      <c r="C124" s="13"/>
      <c r="D124" s="13"/>
      <c r="E124" s="13"/>
      <c r="F124" s="13"/>
      <c r="G124" s="13"/>
      <c r="H124" s="13"/>
      <c r="I124" s="13"/>
      <c r="J124" s="13"/>
      <c r="K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</row>
    <row r="125" spans="3:29">
      <c r="C125" s="13"/>
      <c r="D125" s="13"/>
      <c r="E125" s="13"/>
      <c r="F125" s="13"/>
      <c r="G125" s="13"/>
      <c r="H125" s="13"/>
      <c r="I125" s="13"/>
      <c r="J125" s="13"/>
      <c r="K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</row>
    <row r="126" spans="3:29">
      <c r="C126" s="13"/>
      <c r="D126" s="13"/>
      <c r="E126" s="13"/>
      <c r="F126" s="13"/>
      <c r="G126" s="13"/>
      <c r="H126" s="13"/>
      <c r="I126" s="13"/>
      <c r="J126" s="13"/>
      <c r="K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</row>
    <row r="127" spans="3:29">
      <c r="C127" s="13"/>
      <c r="D127" s="13"/>
      <c r="E127" s="13"/>
      <c r="F127" s="13"/>
      <c r="G127" s="13"/>
      <c r="H127" s="13"/>
      <c r="I127" s="13"/>
      <c r="J127" s="13"/>
      <c r="K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</row>
    <row r="128" spans="3:29">
      <c r="C128" s="13"/>
      <c r="D128" s="13"/>
      <c r="E128" s="13"/>
      <c r="F128" s="13"/>
      <c r="G128" s="13"/>
      <c r="H128" s="13"/>
      <c r="I128" s="13"/>
      <c r="J128" s="13"/>
      <c r="K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</row>
    <row r="129" spans="3:29">
      <c r="C129" s="13"/>
      <c r="D129" s="13"/>
      <c r="E129" s="13"/>
      <c r="F129" s="13"/>
      <c r="G129" s="13"/>
      <c r="H129" s="13"/>
      <c r="I129" s="13"/>
      <c r="J129" s="13"/>
      <c r="K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</row>
    <row r="130" spans="3:29">
      <c r="C130" s="13"/>
      <c r="D130" s="13"/>
      <c r="E130" s="13"/>
      <c r="F130" s="13"/>
      <c r="G130" s="13"/>
      <c r="H130" s="13"/>
      <c r="I130" s="13"/>
      <c r="J130" s="13"/>
      <c r="K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</row>
    <row r="131" spans="3:29">
      <c r="C131" s="13"/>
      <c r="D131" s="13"/>
      <c r="E131" s="13"/>
      <c r="F131" s="13"/>
      <c r="G131" s="13"/>
      <c r="H131" s="13"/>
      <c r="I131" s="13"/>
      <c r="J131" s="13"/>
      <c r="K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</row>
    <row r="132" spans="3:29">
      <c r="C132" s="13"/>
      <c r="D132" s="13"/>
      <c r="E132" s="13"/>
      <c r="F132" s="13"/>
      <c r="G132" s="13"/>
      <c r="H132" s="13"/>
      <c r="I132" s="13"/>
      <c r="J132" s="13"/>
      <c r="K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</row>
    <row r="133" spans="3:29">
      <c r="C133" s="13"/>
      <c r="D133" s="13"/>
      <c r="E133" s="13"/>
      <c r="F133" s="13"/>
      <c r="G133" s="13"/>
      <c r="H133" s="13"/>
      <c r="I133" s="13"/>
      <c r="J133" s="13"/>
      <c r="K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</row>
    <row r="134" spans="3:29">
      <c r="C134" s="13"/>
      <c r="D134" s="13"/>
      <c r="E134" s="13"/>
      <c r="F134" s="13"/>
      <c r="G134" s="13"/>
      <c r="H134" s="13"/>
      <c r="I134" s="13"/>
      <c r="J134" s="13"/>
      <c r="K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</row>
    <row r="135" spans="3:29">
      <c r="C135" s="13"/>
      <c r="D135" s="13"/>
      <c r="E135" s="13"/>
      <c r="F135" s="13"/>
      <c r="G135" s="13"/>
      <c r="H135" s="13"/>
      <c r="I135" s="13"/>
      <c r="J135" s="13"/>
      <c r="K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</row>
    <row r="136" spans="3:29">
      <c r="C136" s="13"/>
      <c r="D136" s="13"/>
      <c r="E136" s="13"/>
      <c r="F136" s="13"/>
      <c r="G136" s="13"/>
      <c r="H136" s="13"/>
      <c r="I136" s="13"/>
      <c r="J136" s="13"/>
      <c r="K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</row>
    <row r="137" spans="3:29">
      <c r="C137" s="13"/>
      <c r="D137" s="13"/>
      <c r="E137" s="13"/>
      <c r="F137" s="13"/>
      <c r="G137" s="13"/>
      <c r="H137" s="13"/>
      <c r="I137" s="13"/>
      <c r="J137" s="13"/>
      <c r="K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</row>
    <row r="138" spans="3:29">
      <c r="C138" s="13"/>
      <c r="D138" s="13"/>
      <c r="E138" s="13"/>
      <c r="F138" s="13"/>
      <c r="G138" s="13"/>
      <c r="H138" s="13"/>
      <c r="I138" s="13"/>
      <c r="J138" s="13"/>
      <c r="K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</row>
    <row r="139" spans="3:29">
      <c r="C139" s="13"/>
      <c r="D139" s="13"/>
      <c r="E139" s="13"/>
      <c r="F139" s="13"/>
      <c r="G139" s="13"/>
      <c r="H139" s="13"/>
      <c r="I139" s="13"/>
      <c r="J139" s="13"/>
      <c r="K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</row>
    <row r="140" spans="3:29">
      <c r="C140" s="13"/>
      <c r="D140" s="13"/>
      <c r="E140" s="13"/>
      <c r="F140" s="13"/>
      <c r="G140" s="13"/>
      <c r="H140" s="13"/>
      <c r="I140" s="13"/>
      <c r="J140" s="13"/>
      <c r="K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</row>
    <row r="141" spans="3:29">
      <c r="C141" s="13"/>
      <c r="D141" s="13"/>
      <c r="E141" s="13"/>
      <c r="F141" s="13"/>
      <c r="G141" s="13"/>
      <c r="H141" s="13"/>
      <c r="I141" s="13"/>
      <c r="J141" s="13"/>
      <c r="K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</row>
    <row r="142" spans="3:29">
      <c r="C142" s="13"/>
      <c r="D142" s="13"/>
      <c r="E142" s="13"/>
      <c r="F142" s="13"/>
      <c r="G142" s="13"/>
      <c r="H142" s="13"/>
      <c r="I142" s="13"/>
      <c r="J142" s="13"/>
      <c r="K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</row>
    <row r="143" spans="3:29">
      <c r="C143" s="13"/>
      <c r="D143" s="13"/>
      <c r="E143" s="13"/>
      <c r="F143" s="13"/>
      <c r="G143" s="13"/>
      <c r="H143" s="13"/>
      <c r="I143" s="13"/>
      <c r="J143" s="13"/>
      <c r="K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</row>
    <row r="144" spans="3:29">
      <c r="C144" s="13"/>
      <c r="D144" s="13"/>
      <c r="E144" s="13"/>
      <c r="F144" s="13"/>
      <c r="G144" s="13"/>
      <c r="H144" s="13"/>
      <c r="I144" s="13"/>
      <c r="J144" s="13"/>
      <c r="K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</row>
    <row r="145" spans="3:29">
      <c r="C145" s="13"/>
      <c r="D145" s="13"/>
      <c r="E145" s="13"/>
      <c r="F145" s="13"/>
      <c r="G145" s="13"/>
      <c r="H145" s="13"/>
      <c r="I145" s="13"/>
      <c r="J145" s="13"/>
      <c r="K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</row>
    <row r="146" spans="3:29">
      <c r="C146" s="13"/>
      <c r="D146" s="13"/>
      <c r="E146" s="13"/>
      <c r="F146" s="13"/>
      <c r="G146" s="13"/>
      <c r="H146" s="13"/>
      <c r="I146" s="13"/>
      <c r="J146" s="13"/>
      <c r="K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</row>
    <row r="147" spans="3:29">
      <c r="C147" s="13"/>
      <c r="D147" s="13"/>
      <c r="E147" s="13"/>
      <c r="F147" s="13"/>
      <c r="G147" s="13"/>
      <c r="H147" s="13"/>
      <c r="I147" s="13"/>
      <c r="J147" s="13"/>
      <c r="K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</row>
    <row r="148" spans="3:29">
      <c r="C148" s="13"/>
      <c r="D148" s="13"/>
      <c r="E148" s="13"/>
      <c r="F148" s="13"/>
      <c r="G148" s="13"/>
      <c r="H148" s="13"/>
      <c r="I148" s="13"/>
      <c r="J148" s="13"/>
      <c r="K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</row>
    <row r="149" spans="3:29">
      <c r="C149" s="13"/>
      <c r="D149" s="13"/>
      <c r="E149" s="13"/>
      <c r="F149" s="13"/>
      <c r="G149" s="13"/>
      <c r="H149" s="13"/>
      <c r="I149" s="13"/>
      <c r="J149" s="13"/>
      <c r="K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</row>
    <row r="150" spans="3:29">
      <c r="C150" s="13"/>
      <c r="D150" s="13"/>
      <c r="E150" s="13"/>
      <c r="F150" s="13"/>
      <c r="G150" s="13"/>
      <c r="H150" s="13"/>
      <c r="I150" s="13"/>
      <c r="J150" s="13"/>
      <c r="K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</row>
    <row r="151" spans="3:29">
      <c r="C151" s="13"/>
      <c r="D151" s="13"/>
      <c r="E151" s="13"/>
      <c r="F151" s="13"/>
      <c r="G151" s="13"/>
      <c r="H151" s="13"/>
      <c r="I151" s="13"/>
      <c r="J151" s="13"/>
      <c r="K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</row>
    <row r="152" spans="3:29">
      <c r="C152" s="13"/>
      <c r="D152" s="13"/>
      <c r="E152" s="13"/>
      <c r="F152" s="13"/>
      <c r="G152" s="13"/>
      <c r="H152" s="13"/>
      <c r="I152" s="13"/>
      <c r="J152" s="13"/>
      <c r="K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</row>
    <row r="153" spans="3:29">
      <c r="C153" s="13"/>
      <c r="D153" s="13"/>
      <c r="E153" s="13"/>
      <c r="F153" s="13"/>
      <c r="G153" s="13"/>
      <c r="H153" s="13"/>
      <c r="I153" s="13"/>
      <c r="J153" s="13"/>
      <c r="K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</row>
    <row r="154" spans="3:29">
      <c r="C154" s="13"/>
      <c r="D154" s="13"/>
      <c r="E154" s="13"/>
      <c r="F154" s="13"/>
      <c r="G154" s="13"/>
      <c r="H154" s="13"/>
      <c r="I154" s="13"/>
      <c r="J154" s="13"/>
      <c r="K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</row>
    <row r="155" spans="3:29">
      <c r="C155" s="13"/>
      <c r="D155" s="13"/>
      <c r="E155" s="13"/>
      <c r="F155" s="13"/>
      <c r="G155" s="13"/>
      <c r="H155" s="13"/>
      <c r="I155" s="13"/>
      <c r="J155" s="13"/>
      <c r="K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</row>
    <row r="156" spans="3:29">
      <c r="C156" s="13"/>
      <c r="D156" s="13"/>
      <c r="E156" s="13"/>
      <c r="F156" s="13"/>
      <c r="G156" s="13"/>
      <c r="H156" s="13"/>
      <c r="I156" s="13"/>
      <c r="J156" s="13"/>
      <c r="K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</row>
    <row r="157" spans="3:29">
      <c r="C157" s="13"/>
      <c r="D157" s="13"/>
      <c r="E157" s="13"/>
      <c r="F157" s="13"/>
      <c r="G157" s="13"/>
      <c r="H157" s="13"/>
      <c r="I157" s="13"/>
      <c r="J157" s="13"/>
      <c r="K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</row>
    <row r="158" spans="3:29">
      <c r="C158" s="13"/>
      <c r="D158" s="13"/>
      <c r="E158" s="13"/>
      <c r="F158" s="13"/>
      <c r="G158" s="13"/>
      <c r="H158" s="13"/>
      <c r="I158" s="13"/>
      <c r="J158" s="13"/>
      <c r="K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</row>
    <row r="159" spans="3:29">
      <c r="C159" s="13"/>
      <c r="D159" s="13"/>
      <c r="E159" s="13"/>
      <c r="F159" s="13"/>
      <c r="G159" s="13"/>
      <c r="H159" s="13"/>
      <c r="I159" s="13"/>
      <c r="J159" s="13"/>
      <c r="K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</row>
    <row r="160" spans="3:29">
      <c r="C160" s="13"/>
      <c r="D160" s="13"/>
      <c r="E160" s="13"/>
      <c r="F160" s="13"/>
      <c r="G160" s="13"/>
      <c r="H160" s="13"/>
      <c r="I160" s="13"/>
      <c r="J160" s="13"/>
      <c r="K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</row>
    <row r="161" spans="3:29">
      <c r="C161" s="13"/>
      <c r="D161" s="13"/>
      <c r="E161" s="13"/>
      <c r="F161" s="13"/>
      <c r="G161" s="13"/>
      <c r="H161" s="13"/>
      <c r="I161" s="13"/>
      <c r="J161" s="13"/>
      <c r="K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</row>
    <row r="162" spans="3:29">
      <c r="C162" s="13"/>
      <c r="D162" s="13"/>
      <c r="E162" s="13"/>
      <c r="F162" s="13"/>
      <c r="G162" s="13"/>
      <c r="H162" s="13"/>
      <c r="I162" s="13"/>
      <c r="J162" s="13"/>
      <c r="K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</row>
    <row r="163" spans="3:29">
      <c r="C163" s="13"/>
      <c r="D163" s="13"/>
      <c r="E163" s="13"/>
      <c r="F163" s="13"/>
      <c r="G163" s="13"/>
      <c r="H163" s="13"/>
      <c r="I163" s="13"/>
      <c r="J163" s="13"/>
      <c r="K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</row>
    <row r="164" spans="3:29">
      <c r="C164" s="13"/>
      <c r="D164" s="13"/>
      <c r="E164" s="13"/>
      <c r="F164" s="13"/>
      <c r="G164" s="13"/>
      <c r="H164" s="13"/>
      <c r="I164" s="13"/>
      <c r="J164" s="13"/>
      <c r="K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</row>
    <row r="165" spans="3:29">
      <c r="C165" s="13"/>
      <c r="D165" s="13"/>
      <c r="E165" s="13"/>
      <c r="F165" s="13"/>
      <c r="G165" s="13"/>
      <c r="H165" s="13"/>
      <c r="I165" s="13"/>
      <c r="J165" s="13"/>
      <c r="K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</row>
    <row r="166" spans="3:29">
      <c r="C166" s="13"/>
      <c r="D166" s="13"/>
      <c r="E166" s="13"/>
      <c r="F166" s="13"/>
      <c r="G166" s="13"/>
      <c r="H166" s="13"/>
      <c r="I166" s="13"/>
      <c r="J166" s="13"/>
      <c r="K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</row>
    <row r="167" spans="3:29">
      <c r="C167" s="13"/>
      <c r="D167" s="13"/>
      <c r="E167" s="13"/>
      <c r="F167" s="13"/>
      <c r="G167" s="13"/>
      <c r="H167" s="13"/>
      <c r="I167" s="13"/>
      <c r="J167" s="13"/>
      <c r="K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</row>
    <row r="168" spans="3:29">
      <c r="C168" s="13"/>
      <c r="D168" s="13"/>
      <c r="E168" s="13"/>
      <c r="F168" s="13"/>
      <c r="G168" s="13"/>
      <c r="H168" s="13"/>
      <c r="I168" s="13"/>
      <c r="J168" s="13"/>
      <c r="K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</row>
    <row r="169" spans="3:29">
      <c r="C169" s="13"/>
      <c r="D169" s="13"/>
      <c r="E169" s="13"/>
      <c r="F169" s="13"/>
      <c r="G169" s="13"/>
      <c r="H169" s="13"/>
      <c r="I169" s="13"/>
      <c r="J169" s="13"/>
      <c r="K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</row>
    <row r="170" spans="3:29">
      <c r="C170" s="13"/>
      <c r="D170" s="13"/>
      <c r="E170" s="13"/>
      <c r="F170" s="13"/>
      <c r="G170" s="13"/>
      <c r="H170" s="13"/>
      <c r="I170" s="13"/>
      <c r="J170" s="13"/>
      <c r="K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</row>
    <row r="171" spans="3:29">
      <c r="C171" s="13"/>
      <c r="D171" s="13"/>
      <c r="E171" s="13"/>
      <c r="F171" s="13"/>
      <c r="G171" s="13"/>
      <c r="H171" s="13"/>
      <c r="I171" s="13"/>
      <c r="J171" s="13"/>
      <c r="K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</row>
    <row r="958" spans="2:2">
      <c r="B958" s="73"/>
    </row>
    <row r="959" spans="2:2">
      <c r="B959" s="73"/>
    </row>
    <row r="960" spans="2:2">
      <c r="B960" s="73"/>
    </row>
    <row r="961" spans="2:2">
      <c r="B961" s="73"/>
    </row>
    <row r="962" spans="2:2">
      <c r="B962" s="73"/>
    </row>
    <row r="963" spans="2:2">
      <c r="B963" s="73"/>
    </row>
    <row r="964" spans="2:2">
      <c r="B964" s="73"/>
    </row>
    <row r="965" spans="2:2">
      <c r="B965" s="73"/>
    </row>
    <row r="966" spans="2:2">
      <c r="B966" s="73"/>
    </row>
    <row r="967" spans="2:2">
      <c r="B967" s="73"/>
    </row>
    <row r="968" spans="2:2">
      <c r="B968" s="73"/>
    </row>
    <row r="969" spans="2:2">
      <c r="B969" s="73"/>
    </row>
    <row r="970" spans="2:2">
      <c r="B970" s="73"/>
    </row>
    <row r="971" spans="2:2">
      <c r="B971" s="73"/>
    </row>
    <row r="972" spans="2:2">
      <c r="B972" s="73"/>
    </row>
    <row r="973" spans="2:2">
      <c r="B973" s="73"/>
    </row>
    <row r="974" spans="2:2">
      <c r="B974" s="73"/>
    </row>
    <row r="975" spans="2:2">
      <c r="B975" s="73"/>
    </row>
    <row r="976" spans="2:2">
      <c r="B976" s="73"/>
    </row>
    <row r="977" spans="2:2">
      <c r="B977" s="73"/>
    </row>
    <row r="978" spans="2:2">
      <c r="B978" s="73"/>
    </row>
    <row r="979" spans="2:2">
      <c r="B979" s="73"/>
    </row>
    <row r="980" spans="2:2">
      <c r="B980" s="73"/>
    </row>
    <row r="981" spans="2:2">
      <c r="B981" s="73"/>
    </row>
    <row r="982" spans="2:2">
      <c r="B982" s="73"/>
    </row>
    <row r="983" spans="2:2">
      <c r="B983" s="73"/>
    </row>
    <row r="984" spans="2:2">
      <c r="B984" s="73"/>
    </row>
    <row r="985" spans="2:2">
      <c r="B985" s="73"/>
    </row>
    <row r="986" spans="2:2">
      <c r="B986" s="73"/>
    </row>
    <row r="987" spans="2:2">
      <c r="B987" s="73"/>
    </row>
    <row r="988" spans="2:2">
      <c r="B988" s="73"/>
    </row>
    <row r="989" spans="2:2">
      <c r="B989" s="73"/>
    </row>
    <row r="990" spans="2:2">
      <c r="B990" s="73"/>
    </row>
    <row r="991" spans="2:2">
      <c r="B991" s="73"/>
    </row>
    <row r="992" spans="2:2">
      <c r="B992" s="73"/>
    </row>
    <row r="993" spans="2:2">
      <c r="B993" s="73"/>
    </row>
    <row r="994" spans="2:2">
      <c r="B994" s="73"/>
    </row>
    <row r="995" spans="2:2">
      <c r="B995" s="73"/>
    </row>
    <row r="996" spans="2:2">
      <c r="B996" s="73"/>
    </row>
    <row r="997" spans="2:2">
      <c r="B997" s="73"/>
    </row>
    <row r="998" spans="2:2">
      <c r="B998" s="73"/>
    </row>
    <row r="999" spans="2:2">
      <c r="B999" s="73"/>
    </row>
    <row r="1000" spans="2:2">
      <c r="B1000" s="73"/>
    </row>
  </sheetData>
  <mergeCells count="1">
    <mergeCell ref="B2:D2"/>
  </mergeCells>
  <phoneticPr fontId="2" type="noConversion"/>
  <pageMargins left="0.7" right="0.7" top="0.75" bottom="0.75" header="0.3" footer="0.3"/>
  <pageSetup scale="61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0A5ED-0549-45E0-BC44-C257D13F10F9}">
  <sheetPr codeName="Sheet4">
    <pageSetUpPr fitToPage="1"/>
  </sheetPr>
  <dimension ref="B1:O1176"/>
  <sheetViews>
    <sheetView topLeftCell="A2" zoomScale="60" zoomScaleNormal="60" workbookViewId="0">
      <selection activeCell="U13" sqref="U13"/>
    </sheetView>
  </sheetViews>
  <sheetFormatPr baseColWidth="10" defaultColWidth="8.6640625" defaultRowHeight="14"/>
  <cols>
    <col min="1" max="1" width="2.5" style="8" customWidth="1"/>
    <col min="2" max="2" width="11.5" style="75" customWidth="1"/>
    <col min="3" max="3" width="13.6640625" style="8" customWidth="1"/>
    <col min="4" max="4" width="15.33203125" style="8" customWidth="1"/>
    <col min="5" max="5" width="13.1640625" style="8" customWidth="1"/>
    <col min="6" max="6" width="35.1640625" style="86" customWidth="1"/>
    <col min="7" max="7" width="24.33203125" style="86" customWidth="1"/>
    <col min="8" max="8" width="20.5" style="8" customWidth="1"/>
    <col min="9" max="9" width="26.5" style="8" customWidth="1"/>
    <col min="10" max="10" width="20" style="8" customWidth="1"/>
    <col min="11" max="11" width="23.6640625" style="8" customWidth="1"/>
    <col min="12" max="12" width="27.33203125" style="8" customWidth="1"/>
    <col min="13" max="13" width="27.6640625" style="8" customWidth="1"/>
    <col min="14" max="14" width="23.33203125" style="8" customWidth="1"/>
    <col min="15" max="15" width="19.33203125" style="8" customWidth="1"/>
    <col min="16" max="16384" width="8.6640625" style="8"/>
  </cols>
  <sheetData>
    <row r="1" spans="2:15">
      <c r="B1" s="72"/>
      <c r="E1" s="14"/>
    </row>
    <row r="2" spans="2:15" ht="15">
      <c r="B2" s="66" t="s">
        <v>463</v>
      </c>
      <c r="C2" s="27"/>
      <c r="D2" s="27"/>
      <c r="E2" s="59"/>
    </row>
    <row r="3" spans="2:15">
      <c r="B3" s="72"/>
      <c r="E3" s="14"/>
    </row>
    <row r="4" spans="2:15">
      <c r="B4" s="20" t="s">
        <v>455</v>
      </c>
      <c r="C4" s="20" t="s">
        <v>15</v>
      </c>
      <c r="D4" s="20" t="s">
        <v>1</v>
      </c>
      <c r="E4" s="21" t="s">
        <v>425</v>
      </c>
      <c r="F4" s="20" t="s">
        <v>4</v>
      </c>
      <c r="G4" s="20" t="s">
        <v>8</v>
      </c>
      <c r="H4" s="20" t="s">
        <v>470</v>
      </c>
      <c r="I4" s="22" t="s">
        <v>464</v>
      </c>
      <c r="J4" s="20" t="s">
        <v>466</v>
      </c>
      <c r="K4" s="20" t="s">
        <v>467</v>
      </c>
      <c r="L4" s="20" t="s">
        <v>468</v>
      </c>
      <c r="M4" s="20" t="s">
        <v>469</v>
      </c>
      <c r="N4" s="20" t="s">
        <v>465</v>
      </c>
      <c r="O4" s="20" t="s">
        <v>449</v>
      </c>
    </row>
    <row r="5" spans="2:15" s="9" customFormat="1">
      <c r="B5" s="72">
        <v>5795.18603515625</v>
      </c>
      <c r="C5" s="13" t="s">
        <v>537</v>
      </c>
      <c r="D5" s="13" t="s">
        <v>9</v>
      </c>
      <c r="E5" s="13" t="s">
        <v>426</v>
      </c>
      <c r="F5" s="84">
        <f>SelectAppointmentDate</f>
        <v>45263</v>
      </c>
      <c r="G5" s="85" t="str">
        <f>SelectAppointmentTime</f>
        <v>2:00 - 4:00 PM</v>
      </c>
      <c r="H5" s="13" t="s">
        <v>473</v>
      </c>
      <c r="I5" s="12" t="s">
        <v>541</v>
      </c>
      <c r="J5" s="82" t="s">
        <v>533</v>
      </c>
      <c r="K5" s="82" t="s">
        <v>533</v>
      </c>
      <c r="L5" s="82"/>
      <c r="M5" s="82" t="s">
        <v>533</v>
      </c>
      <c r="N5" s="82"/>
      <c r="O5" s="83" t="s">
        <v>475</v>
      </c>
    </row>
    <row r="6" spans="2:15" s="9" customFormat="1">
      <c r="B6" s="72"/>
      <c r="C6" s="13"/>
      <c r="D6" s="13"/>
      <c r="E6" s="13"/>
      <c r="F6" s="84"/>
      <c r="G6" s="84"/>
      <c r="H6" s="13"/>
      <c r="I6" s="13"/>
      <c r="J6" s="13"/>
      <c r="K6" s="13"/>
      <c r="L6" s="13"/>
      <c r="M6" s="13"/>
      <c r="N6" s="13"/>
    </row>
    <row r="7" spans="2:15" s="9" customFormat="1">
      <c r="B7" s="72"/>
      <c r="C7" s="13"/>
      <c r="D7" s="13"/>
      <c r="E7" s="13"/>
      <c r="F7" s="84"/>
      <c r="G7" s="84"/>
      <c r="H7" s="13"/>
      <c r="I7" s="13"/>
      <c r="J7" s="13"/>
      <c r="K7" s="13"/>
      <c r="L7" s="13"/>
      <c r="M7" s="13"/>
      <c r="N7" s="13"/>
    </row>
    <row r="8" spans="2:15" s="9" customFormat="1">
      <c r="B8" s="72"/>
      <c r="C8" s="13"/>
      <c r="D8" s="13"/>
      <c r="E8" s="13"/>
      <c r="F8" s="84"/>
      <c r="G8" s="84"/>
      <c r="H8" s="13"/>
      <c r="I8" s="13"/>
      <c r="J8" s="13"/>
      <c r="K8" s="13"/>
      <c r="L8" s="13"/>
      <c r="M8" s="13"/>
      <c r="N8" s="13"/>
    </row>
    <row r="9" spans="2:15" s="9" customFormat="1">
      <c r="B9" s="72"/>
      <c r="C9" s="13"/>
      <c r="D9" s="13"/>
      <c r="E9" s="13"/>
      <c r="F9" s="84"/>
      <c r="G9" s="84"/>
      <c r="H9" s="13"/>
      <c r="I9" s="13"/>
      <c r="J9" s="13"/>
      <c r="K9" s="13"/>
      <c r="L9" s="13"/>
      <c r="M9" s="13"/>
      <c r="N9" s="13"/>
    </row>
    <row r="10" spans="2:15" s="9" customFormat="1">
      <c r="B10" s="72"/>
      <c r="C10" s="13"/>
      <c r="D10" s="13"/>
      <c r="E10" s="13"/>
      <c r="F10" s="84"/>
      <c r="G10" s="84"/>
      <c r="H10" s="13"/>
      <c r="I10" s="13"/>
      <c r="J10" s="13"/>
      <c r="K10" s="13"/>
      <c r="L10" s="13"/>
      <c r="M10" s="13"/>
      <c r="N10" s="13"/>
    </row>
    <row r="11" spans="2:15" s="9" customFormat="1">
      <c r="B11" s="72"/>
      <c r="C11" s="13"/>
      <c r="D11" s="13"/>
      <c r="E11" s="13"/>
      <c r="F11" s="84"/>
      <c r="G11" s="84"/>
      <c r="I11" s="13"/>
      <c r="J11" s="13"/>
      <c r="K11" s="13"/>
      <c r="L11" s="13"/>
      <c r="M11" s="13"/>
      <c r="N11" s="13"/>
    </row>
    <row r="12" spans="2:15" s="9" customFormat="1">
      <c r="B12" s="72"/>
      <c r="C12" s="13"/>
      <c r="D12" s="13"/>
      <c r="E12" s="13"/>
      <c r="F12" s="84"/>
      <c r="G12" s="84"/>
      <c r="H12" s="13"/>
      <c r="I12" s="13"/>
      <c r="J12" s="13"/>
      <c r="K12" s="13"/>
      <c r="L12" s="13"/>
      <c r="M12" s="13"/>
      <c r="N12" s="13"/>
    </row>
    <row r="13" spans="2:15" s="9" customFormat="1">
      <c r="B13" s="72"/>
      <c r="C13" s="13"/>
      <c r="D13" s="13"/>
      <c r="E13" s="13"/>
      <c r="F13" s="84"/>
      <c r="G13" s="84"/>
      <c r="H13" s="13"/>
      <c r="I13" s="13"/>
      <c r="J13" s="13"/>
      <c r="K13" s="13"/>
      <c r="L13" s="13"/>
      <c r="M13" s="13"/>
      <c r="N13" s="13"/>
    </row>
    <row r="14" spans="2:15" s="9" customFormat="1">
      <c r="B14" s="72"/>
      <c r="C14" s="13"/>
      <c r="D14" s="13"/>
      <c r="E14" s="13"/>
      <c r="F14" s="84"/>
      <c r="G14" s="84"/>
      <c r="H14" s="13"/>
      <c r="I14" s="13"/>
      <c r="J14" s="13"/>
      <c r="K14" s="13"/>
      <c r="L14" s="13"/>
      <c r="M14" s="13"/>
      <c r="N14" s="13"/>
    </row>
    <row r="15" spans="2:15" s="9" customFormat="1">
      <c r="B15" s="72"/>
      <c r="C15" s="13"/>
      <c r="D15" s="13"/>
      <c r="E15" s="13"/>
      <c r="F15" s="84"/>
      <c r="G15" s="84"/>
      <c r="H15" s="13"/>
      <c r="I15" s="13"/>
      <c r="J15" s="13"/>
      <c r="K15" s="13"/>
      <c r="L15" s="13"/>
      <c r="M15" s="13"/>
      <c r="N15" s="13"/>
    </row>
    <row r="16" spans="2:15" s="9" customFormat="1">
      <c r="B16" s="72"/>
      <c r="C16" s="13"/>
      <c r="D16" s="13"/>
      <c r="E16" s="13"/>
      <c r="F16" s="84"/>
      <c r="G16" s="84"/>
      <c r="H16" s="13"/>
      <c r="I16" s="13"/>
      <c r="J16" s="13"/>
      <c r="K16" s="13"/>
      <c r="L16" s="13"/>
      <c r="M16" s="13"/>
      <c r="N16" s="13"/>
    </row>
    <row r="17" spans="2:14" s="9" customFormat="1">
      <c r="B17" s="72"/>
      <c r="C17" s="13"/>
      <c r="D17" s="13"/>
      <c r="E17" s="13"/>
      <c r="F17" s="84"/>
      <c r="G17" s="84"/>
      <c r="H17" s="13"/>
      <c r="I17" s="13"/>
      <c r="J17" s="13"/>
      <c r="K17" s="13"/>
      <c r="L17" s="13"/>
      <c r="M17" s="13"/>
      <c r="N17" s="13"/>
    </row>
    <row r="18" spans="2:14" s="9" customFormat="1">
      <c r="B18" s="72"/>
      <c r="C18" s="13"/>
      <c r="D18" s="13"/>
      <c r="E18" s="13"/>
      <c r="F18" s="84"/>
      <c r="G18" s="84"/>
      <c r="H18" s="13"/>
      <c r="I18" s="13"/>
      <c r="J18" s="13"/>
      <c r="K18" s="13"/>
      <c r="L18" s="13"/>
      <c r="M18" s="13"/>
      <c r="N18" s="13"/>
    </row>
    <row r="19" spans="2:14" s="9" customFormat="1">
      <c r="B19" s="72"/>
      <c r="C19" s="13"/>
      <c r="D19" s="13"/>
      <c r="E19" s="13"/>
      <c r="F19" s="84"/>
      <c r="G19" s="84"/>
      <c r="H19" s="13"/>
      <c r="I19" s="13"/>
      <c r="J19" s="13"/>
      <c r="K19" s="13"/>
      <c r="L19" s="13"/>
      <c r="M19" s="13"/>
      <c r="N19" s="13"/>
    </row>
    <row r="20" spans="2:14" s="9" customFormat="1">
      <c r="B20" s="72"/>
      <c r="C20" s="13"/>
      <c r="D20" s="13"/>
      <c r="E20" s="13"/>
      <c r="F20" s="84"/>
      <c r="G20" s="84"/>
      <c r="H20" s="13"/>
      <c r="I20" s="13"/>
      <c r="J20" s="13"/>
      <c r="K20" s="13"/>
      <c r="L20" s="13"/>
      <c r="M20" s="13"/>
      <c r="N20" s="13"/>
    </row>
    <row r="21" spans="2:14" s="9" customFormat="1">
      <c r="B21" s="72"/>
      <c r="C21" s="13"/>
      <c r="D21" s="13"/>
      <c r="E21" s="13"/>
      <c r="F21" s="84"/>
      <c r="G21" s="84"/>
      <c r="H21" s="13"/>
      <c r="I21" s="13"/>
      <c r="J21" s="13"/>
      <c r="K21" s="13"/>
      <c r="L21" s="13"/>
      <c r="M21" s="13"/>
      <c r="N21" s="13"/>
    </row>
    <row r="22" spans="2:14" s="9" customFormat="1">
      <c r="B22" s="72"/>
      <c r="C22" s="13"/>
      <c r="D22" s="13"/>
      <c r="E22" s="13"/>
      <c r="F22" s="84"/>
      <c r="G22" s="84"/>
      <c r="H22" s="13"/>
      <c r="I22" s="13"/>
      <c r="J22" s="13"/>
      <c r="K22" s="13"/>
      <c r="L22" s="13"/>
      <c r="M22" s="13"/>
      <c r="N22" s="13"/>
    </row>
    <row r="23" spans="2:14" s="9" customFormat="1">
      <c r="B23" s="72"/>
      <c r="C23" s="13"/>
      <c r="D23" s="13"/>
      <c r="E23" s="13"/>
      <c r="F23" s="84"/>
      <c r="G23" s="84"/>
      <c r="H23" s="13"/>
      <c r="I23" s="13"/>
      <c r="J23" s="13"/>
      <c r="K23" s="13"/>
      <c r="L23" s="13"/>
      <c r="M23" s="13"/>
      <c r="N23" s="13"/>
    </row>
    <row r="24" spans="2:14" s="9" customFormat="1">
      <c r="B24" s="72"/>
      <c r="C24" s="13"/>
      <c r="D24" s="13"/>
      <c r="E24" s="13"/>
      <c r="F24" s="84"/>
      <c r="G24" s="84"/>
      <c r="H24" s="13"/>
      <c r="I24" s="13"/>
      <c r="J24" s="13"/>
      <c r="K24" s="13"/>
      <c r="L24" s="13"/>
      <c r="M24" s="13"/>
      <c r="N24" s="13"/>
    </row>
    <row r="25" spans="2:14" s="9" customFormat="1">
      <c r="B25" s="72"/>
      <c r="C25" s="13"/>
      <c r="D25" s="13"/>
      <c r="E25" s="13"/>
      <c r="F25" s="84"/>
      <c r="G25" s="84"/>
      <c r="H25" s="13"/>
      <c r="I25" s="13"/>
      <c r="J25" s="13"/>
      <c r="K25" s="13"/>
      <c r="L25" s="13"/>
      <c r="M25" s="13"/>
      <c r="N25" s="13"/>
    </row>
    <row r="26" spans="2:14" s="9" customFormat="1">
      <c r="B26" s="72"/>
      <c r="C26" s="13"/>
      <c r="D26" s="13"/>
      <c r="E26" s="13"/>
      <c r="F26" s="84"/>
      <c r="G26" s="84"/>
      <c r="H26" s="13"/>
      <c r="I26" s="13"/>
      <c r="J26" s="13"/>
      <c r="K26" s="13"/>
      <c r="L26" s="13"/>
      <c r="M26" s="13"/>
      <c r="N26" s="13"/>
    </row>
    <row r="27" spans="2:14" s="9" customFormat="1">
      <c r="B27" s="72"/>
      <c r="C27" s="13"/>
      <c r="D27" s="13"/>
      <c r="E27" s="13"/>
      <c r="F27" s="84"/>
      <c r="G27" s="84"/>
      <c r="H27" s="13"/>
      <c r="I27" s="13"/>
      <c r="J27" s="13"/>
      <c r="K27" s="13"/>
      <c r="L27" s="13"/>
      <c r="M27" s="13"/>
      <c r="N27" s="13"/>
    </row>
    <row r="28" spans="2:14" s="9" customFormat="1">
      <c r="B28" s="72"/>
      <c r="C28" s="13"/>
      <c r="D28" s="13"/>
      <c r="E28" s="13"/>
      <c r="F28" s="84"/>
      <c r="G28" s="84"/>
      <c r="H28" s="13"/>
      <c r="I28" s="13"/>
      <c r="J28" s="13"/>
      <c r="K28" s="13"/>
      <c r="L28" s="13"/>
      <c r="M28" s="13"/>
      <c r="N28" s="13"/>
    </row>
    <row r="29" spans="2:14" s="9" customFormat="1">
      <c r="B29" s="72"/>
      <c r="C29" s="13"/>
      <c r="D29" s="13"/>
      <c r="E29" s="13"/>
      <c r="F29" s="84"/>
      <c r="G29" s="84"/>
      <c r="H29" s="13"/>
      <c r="I29" s="13"/>
      <c r="J29" s="13"/>
      <c r="K29" s="13"/>
      <c r="L29" s="13"/>
      <c r="M29" s="13"/>
      <c r="N29" s="13"/>
    </row>
    <row r="30" spans="2:14" s="9" customFormat="1">
      <c r="B30" s="72"/>
      <c r="C30" s="13"/>
      <c r="D30" s="13"/>
      <c r="E30" s="13"/>
      <c r="F30" s="84"/>
      <c r="G30" s="84"/>
      <c r="H30" s="13"/>
      <c r="I30" s="13"/>
      <c r="J30" s="13"/>
      <c r="K30" s="13"/>
      <c r="L30" s="13"/>
      <c r="M30" s="13"/>
      <c r="N30" s="13"/>
    </row>
    <row r="31" spans="2:14" s="9" customFormat="1">
      <c r="B31" s="72"/>
      <c r="C31" s="13"/>
      <c r="D31" s="13"/>
      <c r="E31" s="13"/>
      <c r="F31" s="84"/>
      <c r="G31" s="84"/>
      <c r="H31" s="13"/>
      <c r="I31" s="13"/>
      <c r="J31" s="13"/>
      <c r="K31" s="13"/>
      <c r="L31" s="13"/>
      <c r="M31" s="13"/>
      <c r="N31" s="13"/>
    </row>
    <row r="32" spans="2:14" s="9" customFormat="1">
      <c r="B32" s="72"/>
      <c r="C32" s="13"/>
      <c r="D32" s="13"/>
      <c r="E32" s="13"/>
      <c r="F32" s="84"/>
      <c r="G32" s="84"/>
      <c r="H32" s="13"/>
      <c r="I32" s="13"/>
      <c r="J32" s="13"/>
      <c r="K32" s="13"/>
      <c r="L32" s="13"/>
      <c r="M32" s="13"/>
      <c r="N32" s="13"/>
    </row>
    <row r="33" spans="2:14" s="9" customFormat="1">
      <c r="B33" s="72"/>
      <c r="C33" s="13"/>
      <c r="D33" s="13"/>
      <c r="E33" s="13"/>
      <c r="F33" s="84"/>
      <c r="G33" s="84"/>
      <c r="H33" s="13"/>
      <c r="I33" s="13"/>
      <c r="J33" s="13"/>
      <c r="K33" s="13"/>
      <c r="L33" s="13"/>
      <c r="M33" s="13"/>
      <c r="N33" s="13"/>
    </row>
    <row r="34" spans="2:14" s="9" customFormat="1">
      <c r="B34" s="72"/>
      <c r="C34" s="13"/>
      <c r="D34" s="13"/>
      <c r="E34" s="13"/>
      <c r="F34" s="84"/>
      <c r="G34" s="84"/>
      <c r="H34" s="13"/>
      <c r="I34" s="13"/>
      <c r="J34" s="13"/>
      <c r="K34" s="13"/>
      <c r="L34" s="13"/>
      <c r="M34" s="13"/>
      <c r="N34" s="13"/>
    </row>
    <row r="35" spans="2:14" s="9" customFormat="1">
      <c r="B35" s="72"/>
      <c r="C35" s="13"/>
      <c r="D35" s="13"/>
      <c r="E35" s="13"/>
      <c r="F35" s="84"/>
      <c r="G35" s="84"/>
      <c r="H35" s="13"/>
      <c r="I35" s="13"/>
      <c r="J35" s="13"/>
      <c r="K35" s="13"/>
      <c r="L35" s="13"/>
      <c r="M35" s="13"/>
      <c r="N35" s="13"/>
    </row>
    <row r="36" spans="2:14" s="9" customFormat="1">
      <c r="B36" s="72"/>
      <c r="C36" s="13"/>
      <c r="D36" s="13"/>
      <c r="E36" s="13"/>
      <c r="F36" s="84"/>
      <c r="G36" s="84"/>
      <c r="H36" s="13"/>
      <c r="I36" s="13"/>
      <c r="J36" s="13"/>
      <c r="K36" s="13"/>
      <c r="L36" s="13"/>
      <c r="M36" s="13"/>
      <c r="N36" s="13"/>
    </row>
    <row r="37" spans="2:14" s="9" customFormat="1">
      <c r="B37" s="72"/>
      <c r="C37" s="13"/>
      <c r="D37" s="13"/>
      <c r="E37" s="13"/>
      <c r="F37" s="84"/>
      <c r="G37" s="84"/>
      <c r="H37" s="13"/>
      <c r="I37" s="13"/>
      <c r="J37" s="13"/>
      <c r="K37" s="13"/>
      <c r="L37" s="13"/>
      <c r="M37" s="13"/>
      <c r="N37" s="13"/>
    </row>
    <row r="38" spans="2:14" s="9" customFormat="1">
      <c r="B38" s="72"/>
      <c r="C38" s="13"/>
      <c r="D38" s="13"/>
      <c r="E38" s="13"/>
      <c r="F38" s="84"/>
      <c r="G38" s="84"/>
      <c r="H38" s="13"/>
      <c r="I38" s="13"/>
      <c r="J38" s="13"/>
      <c r="K38" s="13"/>
      <c r="L38" s="13"/>
      <c r="M38" s="13"/>
      <c r="N38" s="13"/>
    </row>
    <row r="39" spans="2:14" s="9" customFormat="1">
      <c r="B39" s="72"/>
      <c r="C39" s="13"/>
      <c r="D39" s="13"/>
      <c r="E39" s="13"/>
      <c r="F39" s="84"/>
      <c r="G39" s="84"/>
      <c r="H39" s="13"/>
      <c r="I39" s="13"/>
      <c r="J39" s="13"/>
      <c r="K39" s="13"/>
      <c r="L39" s="13"/>
      <c r="M39" s="13"/>
      <c r="N39" s="13"/>
    </row>
    <row r="40" spans="2:14" s="9" customFormat="1">
      <c r="B40" s="72"/>
      <c r="C40" s="13"/>
      <c r="D40" s="13"/>
      <c r="E40" s="13"/>
      <c r="F40" s="84"/>
      <c r="G40" s="84"/>
      <c r="H40" s="13"/>
      <c r="I40" s="13"/>
      <c r="J40" s="13"/>
      <c r="K40" s="13"/>
      <c r="L40" s="13"/>
      <c r="M40" s="13"/>
      <c r="N40" s="13"/>
    </row>
    <row r="41" spans="2:14" s="9" customFormat="1">
      <c r="B41" s="72"/>
      <c r="C41" s="13"/>
      <c r="D41" s="13"/>
      <c r="E41" s="13"/>
      <c r="F41" s="84"/>
      <c r="G41" s="84"/>
      <c r="H41" s="13"/>
      <c r="I41" s="13"/>
      <c r="J41" s="13"/>
      <c r="K41" s="13"/>
      <c r="L41" s="13"/>
      <c r="M41" s="13"/>
      <c r="N41" s="13"/>
    </row>
    <row r="42" spans="2:14" s="9" customFormat="1">
      <c r="B42" s="72"/>
      <c r="C42" s="13"/>
      <c r="D42" s="13"/>
      <c r="E42" s="13"/>
      <c r="F42" s="84"/>
      <c r="G42" s="84"/>
      <c r="H42" s="13"/>
      <c r="I42" s="13"/>
      <c r="J42" s="13"/>
      <c r="K42" s="13"/>
      <c r="L42" s="13"/>
      <c r="M42" s="13"/>
      <c r="N42" s="13"/>
    </row>
    <row r="43" spans="2:14" s="9" customFormat="1">
      <c r="B43" s="72"/>
      <c r="C43" s="13"/>
      <c r="D43" s="13"/>
      <c r="E43" s="13"/>
      <c r="F43" s="84"/>
      <c r="G43" s="84"/>
      <c r="H43" s="13"/>
      <c r="I43" s="13"/>
      <c r="J43" s="13"/>
      <c r="K43" s="13"/>
      <c r="L43" s="13"/>
      <c r="M43" s="13"/>
      <c r="N43" s="13"/>
    </row>
    <row r="44" spans="2:14" s="9" customFormat="1">
      <c r="B44" s="72"/>
      <c r="C44" s="13"/>
      <c r="D44" s="13"/>
      <c r="E44" s="13"/>
      <c r="F44" s="84"/>
      <c r="G44" s="84"/>
      <c r="H44" s="13"/>
      <c r="I44" s="13"/>
      <c r="J44" s="13"/>
      <c r="K44" s="13"/>
      <c r="L44" s="13"/>
      <c r="M44" s="13"/>
      <c r="N44" s="13"/>
    </row>
    <row r="45" spans="2:14" s="9" customFormat="1">
      <c r="B45" s="72"/>
      <c r="C45" s="13"/>
      <c r="D45" s="13"/>
      <c r="E45" s="13"/>
      <c r="F45" s="84"/>
      <c r="G45" s="84"/>
      <c r="H45" s="13"/>
      <c r="I45" s="13"/>
      <c r="J45" s="13"/>
      <c r="K45" s="13"/>
      <c r="L45" s="13"/>
      <c r="M45" s="13"/>
      <c r="N45" s="13"/>
    </row>
    <row r="46" spans="2:14" s="9" customFormat="1">
      <c r="B46" s="72"/>
      <c r="C46" s="13"/>
      <c r="D46" s="13"/>
      <c r="E46" s="13"/>
      <c r="F46" s="84"/>
      <c r="G46" s="84"/>
      <c r="H46" s="13"/>
      <c r="I46" s="13"/>
      <c r="J46" s="13"/>
      <c r="K46" s="13"/>
      <c r="L46" s="13"/>
      <c r="M46" s="13"/>
      <c r="N46" s="13"/>
    </row>
    <row r="47" spans="2:14" s="9" customFormat="1">
      <c r="B47" s="72"/>
      <c r="C47" s="13"/>
      <c r="D47" s="13"/>
      <c r="E47" s="13"/>
      <c r="F47" s="84"/>
      <c r="G47" s="84"/>
      <c r="H47" s="13"/>
      <c r="I47" s="13"/>
      <c r="J47" s="13"/>
      <c r="K47" s="13"/>
      <c r="L47" s="13"/>
      <c r="M47" s="13"/>
      <c r="N47" s="13"/>
    </row>
    <row r="48" spans="2:14" s="9" customFormat="1">
      <c r="B48" s="72"/>
      <c r="C48" s="13"/>
      <c r="D48" s="13"/>
      <c r="E48" s="13"/>
      <c r="F48" s="84"/>
      <c r="G48" s="84"/>
      <c r="H48" s="13"/>
      <c r="I48" s="13"/>
      <c r="J48" s="13"/>
      <c r="K48" s="13"/>
      <c r="L48" s="13"/>
      <c r="M48" s="13"/>
      <c r="N48" s="13"/>
    </row>
    <row r="49" spans="2:14" s="9" customFormat="1">
      <c r="B49" s="72"/>
      <c r="C49" s="13"/>
      <c r="D49" s="13"/>
      <c r="E49" s="13"/>
      <c r="F49" s="84"/>
      <c r="G49" s="84"/>
      <c r="H49" s="13"/>
      <c r="I49" s="13"/>
      <c r="J49" s="13"/>
      <c r="K49" s="13"/>
      <c r="L49" s="13"/>
      <c r="M49" s="13"/>
      <c r="N49" s="13"/>
    </row>
    <row r="50" spans="2:14" s="9" customFormat="1">
      <c r="B50" s="72"/>
      <c r="C50" s="13"/>
      <c r="D50" s="13"/>
      <c r="E50" s="13"/>
      <c r="F50" s="84"/>
      <c r="G50" s="84"/>
      <c r="H50" s="13"/>
      <c r="I50" s="13"/>
      <c r="J50" s="13"/>
      <c r="K50" s="13"/>
      <c r="L50" s="13"/>
      <c r="M50" s="13"/>
      <c r="N50" s="13"/>
    </row>
    <row r="51" spans="2:14" s="9" customFormat="1">
      <c r="B51" s="72"/>
      <c r="C51" s="13"/>
      <c r="D51" s="13"/>
      <c r="E51" s="13"/>
      <c r="F51" s="84"/>
      <c r="G51" s="84"/>
      <c r="H51" s="13"/>
      <c r="I51" s="13"/>
      <c r="J51" s="13"/>
      <c r="K51" s="13"/>
      <c r="L51" s="13"/>
      <c r="M51" s="13"/>
      <c r="N51" s="13"/>
    </row>
    <row r="52" spans="2:14" s="9" customFormat="1">
      <c r="B52" s="72"/>
      <c r="C52" s="13"/>
      <c r="D52" s="13"/>
      <c r="E52" s="13"/>
      <c r="F52" s="84"/>
      <c r="G52" s="84"/>
      <c r="H52" s="13"/>
      <c r="I52" s="13"/>
      <c r="J52" s="13"/>
      <c r="K52" s="13"/>
      <c r="L52" s="13"/>
      <c r="M52" s="13"/>
      <c r="N52" s="13"/>
    </row>
    <row r="53" spans="2:14" s="9" customFormat="1">
      <c r="B53" s="72"/>
      <c r="C53" s="13"/>
      <c r="D53" s="13"/>
      <c r="E53" s="13"/>
      <c r="F53" s="84"/>
      <c r="G53" s="84"/>
      <c r="H53" s="13"/>
      <c r="I53" s="13"/>
      <c r="J53" s="13"/>
      <c r="K53" s="13"/>
      <c r="L53" s="13"/>
      <c r="M53" s="13"/>
      <c r="N53" s="13"/>
    </row>
    <row r="54" spans="2:14" s="9" customFormat="1">
      <c r="B54" s="72"/>
      <c r="C54" s="13"/>
      <c r="D54" s="13"/>
      <c r="E54" s="13"/>
      <c r="F54" s="84"/>
      <c r="G54" s="84"/>
      <c r="H54" s="13"/>
      <c r="I54" s="13"/>
      <c r="J54" s="13"/>
      <c r="K54" s="13"/>
      <c r="L54" s="13"/>
      <c r="M54" s="13"/>
      <c r="N54" s="13"/>
    </row>
    <row r="55" spans="2:14" s="9" customFormat="1">
      <c r="B55" s="72"/>
      <c r="C55" s="13"/>
      <c r="D55" s="13"/>
      <c r="E55" s="13"/>
      <c r="F55" s="84"/>
      <c r="G55" s="84"/>
      <c r="H55" s="13"/>
      <c r="I55" s="13"/>
      <c r="J55" s="13"/>
      <c r="K55" s="13"/>
      <c r="L55" s="13"/>
      <c r="M55" s="13"/>
      <c r="N55" s="13"/>
    </row>
    <row r="56" spans="2:14" s="9" customFormat="1">
      <c r="B56" s="72"/>
      <c r="C56" s="13"/>
      <c r="D56" s="13"/>
      <c r="E56" s="13"/>
      <c r="F56" s="84"/>
      <c r="G56" s="84"/>
      <c r="H56" s="13"/>
      <c r="I56" s="13"/>
      <c r="J56" s="13"/>
      <c r="K56" s="13"/>
      <c r="L56" s="13"/>
      <c r="M56" s="13"/>
      <c r="N56" s="13"/>
    </row>
    <row r="57" spans="2:14" s="9" customFormat="1">
      <c r="B57" s="72"/>
      <c r="C57" s="13"/>
      <c r="D57" s="13"/>
      <c r="E57" s="13"/>
      <c r="F57" s="84"/>
      <c r="G57" s="84"/>
      <c r="H57" s="13"/>
      <c r="I57" s="13"/>
      <c r="J57" s="13"/>
      <c r="K57" s="13"/>
      <c r="L57" s="13"/>
      <c r="M57" s="13"/>
      <c r="N57" s="13"/>
    </row>
    <row r="58" spans="2:14" s="9" customFormat="1">
      <c r="B58" s="72"/>
      <c r="C58" s="13"/>
      <c r="D58" s="13"/>
      <c r="E58" s="13"/>
      <c r="F58" s="84"/>
      <c r="G58" s="84"/>
      <c r="H58" s="13"/>
      <c r="I58" s="13"/>
      <c r="J58" s="13"/>
      <c r="K58" s="13"/>
      <c r="L58" s="13"/>
      <c r="M58" s="13"/>
      <c r="N58" s="13"/>
    </row>
    <row r="59" spans="2:14" s="9" customFormat="1">
      <c r="B59" s="72"/>
      <c r="C59" s="13"/>
      <c r="D59" s="13"/>
      <c r="E59" s="13"/>
      <c r="F59" s="84"/>
      <c r="G59" s="84"/>
      <c r="H59" s="13"/>
      <c r="I59" s="13"/>
      <c r="J59" s="13"/>
      <c r="K59" s="13"/>
      <c r="L59" s="13"/>
      <c r="M59" s="13"/>
      <c r="N59" s="13"/>
    </row>
    <row r="60" spans="2:14" s="9" customFormat="1">
      <c r="B60" s="72"/>
      <c r="C60" s="13"/>
      <c r="D60" s="13"/>
      <c r="E60" s="13"/>
      <c r="F60" s="84"/>
      <c r="G60" s="84"/>
      <c r="H60" s="13"/>
      <c r="I60" s="13"/>
      <c r="J60" s="13"/>
      <c r="K60" s="13"/>
      <c r="L60" s="13"/>
      <c r="M60" s="13"/>
      <c r="N60" s="13"/>
    </row>
    <row r="61" spans="2:14" s="9" customFormat="1">
      <c r="B61" s="72"/>
      <c r="C61" s="13"/>
      <c r="D61" s="13"/>
      <c r="E61" s="13"/>
      <c r="F61" s="84"/>
      <c r="G61" s="84"/>
      <c r="H61" s="13"/>
      <c r="I61" s="13"/>
      <c r="J61" s="13"/>
      <c r="K61" s="13"/>
      <c r="L61" s="13"/>
      <c r="M61" s="13"/>
      <c r="N61" s="13"/>
    </row>
    <row r="62" spans="2:14" s="9" customFormat="1">
      <c r="B62" s="72"/>
      <c r="C62" s="13"/>
      <c r="D62" s="13"/>
      <c r="E62" s="13"/>
      <c r="F62" s="84"/>
      <c r="G62" s="84"/>
      <c r="H62" s="13"/>
      <c r="I62" s="13"/>
      <c r="J62" s="13"/>
      <c r="K62" s="13"/>
      <c r="L62" s="13"/>
      <c r="M62" s="13"/>
      <c r="N62" s="13"/>
    </row>
    <row r="63" spans="2:14" s="9" customFormat="1">
      <c r="B63" s="72"/>
      <c r="C63" s="13"/>
      <c r="D63" s="13"/>
      <c r="E63" s="13"/>
      <c r="F63" s="84"/>
      <c r="G63" s="84"/>
      <c r="H63" s="13"/>
      <c r="I63" s="13"/>
      <c r="J63" s="13"/>
      <c r="K63" s="13"/>
      <c r="L63" s="13"/>
      <c r="M63" s="13"/>
      <c r="N63" s="13"/>
    </row>
    <row r="64" spans="2:14" s="9" customFormat="1">
      <c r="B64" s="72"/>
      <c r="C64" s="13"/>
      <c r="D64" s="13"/>
      <c r="E64" s="13"/>
      <c r="F64" s="84"/>
      <c r="G64" s="84"/>
      <c r="H64" s="13"/>
      <c r="I64" s="13"/>
      <c r="J64" s="13"/>
      <c r="K64" s="13"/>
      <c r="L64" s="13"/>
      <c r="M64" s="13"/>
      <c r="N64" s="13"/>
    </row>
    <row r="65" spans="2:14" s="9" customFormat="1">
      <c r="B65" s="72"/>
      <c r="C65" s="13"/>
      <c r="D65" s="13"/>
      <c r="E65" s="13"/>
      <c r="F65" s="84"/>
      <c r="G65" s="84"/>
      <c r="H65" s="13"/>
      <c r="I65" s="13"/>
      <c r="J65" s="13"/>
      <c r="K65" s="13"/>
      <c r="L65" s="13"/>
      <c r="M65" s="13"/>
      <c r="N65" s="13"/>
    </row>
    <row r="66" spans="2:14" s="9" customFormat="1">
      <c r="B66" s="72"/>
      <c r="C66" s="13"/>
      <c r="D66" s="13"/>
      <c r="E66" s="13"/>
      <c r="F66" s="84"/>
      <c r="G66" s="84"/>
      <c r="H66" s="13"/>
      <c r="I66" s="13"/>
      <c r="J66" s="13"/>
      <c r="K66" s="13"/>
      <c r="L66" s="13"/>
      <c r="M66" s="13"/>
      <c r="N66" s="13"/>
    </row>
    <row r="67" spans="2:14" s="9" customFormat="1">
      <c r="B67" s="72"/>
      <c r="C67" s="13"/>
      <c r="D67" s="13"/>
      <c r="E67" s="13"/>
      <c r="F67" s="84"/>
      <c r="G67" s="84"/>
      <c r="H67" s="13"/>
      <c r="I67" s="13"/>
      <c r="J67" s="13"/>
      <c r="K67" s="13"/>
      <c r="L67" s="13"/>
      <c r="M67" s="13"/>
      <c r="N67" s="13"/>
    </row>
    <row r="68" spans="2:14" s="9" customFormat="1">
      <c r="B68" s="72"/>
      <c r="C68" s="13"/>
      <c r="D68" s="13"/>
      <c r="E68" s="13"/>
      <c r="F68" s="84"/>
      <c r="G68" s="84"/>
      <c r="H68" s="13"/>
      <c r="I68" s="13"/>
      <c r="J68" s="13"/>
      <c r="K68" s="13"/>
      <c r="L68" s="13"/>
      <c r="M68" s="13"/>
      <c r="N68" s="13"/>
    </row>
    <row r="69" spans="2:14" s="9" customFormat="1">
      <c r="B69" s="72"/>
      <c r="C69" s="13"/>
      <c r="D69" s="13"/>
      <c r="E69" s="13"/>
      <c r="F69" s="84"/>
      <c r="G69" s="84"/>
      <c r="H69" s="13"/>
      <c r="I69" s="13"/>
      <c r="J69" s="13"/>
      <c r="K69" s="13"/>
      <c r="L69" s="13"/>
      <c r="M69" s="13"/>
      <c r="N69" s="13"/>
    </row>
    <row r="70" spans="2:14" s="9" customFormat="1">
      <c r="B70" s="72"/>
      <c r="C70" s="13"/>
      <c r="D70" s="13"/>
      <c r="E70" s="13"/>
      <c r="F70" s="84"/>
      <c r="G70" s="84"/>
      <c r="H70" s="13"/>
      <c r="I70" s="13"/>
      <c r="J70" s="13"/>
      <c r="K70" s="13"/>
      <c r="L70" s="13"/>
      <c r="M70" s="13"/>
      <c r="N70" s="13"/>
    </row>
    <row r="71" spans="2:14" s="9" customFormat="1">
      <c r="B71" s="72"/>
      <c r="C71" s="13"/>
      <c r="D71" s="13"/>
      <c r="E71" s="13"/>
      <c r="F71" s="84"/>
      <c r="G71" s="84"/>
      <c r="H71" s="13"/>
      <c r="I71" s="13"/>
      <c r="J71" s="13"/>
      <c r="K71" s="13"/>
      <c r="L71" s="13"/>
      <c r="M71" s="13"/>
      <c r="N71" s="13"/>
    </row>
    <row r="72" spans="2:14" s="9" customFormat="1">
      <c r="B72" s="72"/>
      <c r="C72" s="13"/>
      <c r="D72" s="13"/>
      <c r="E72" s="13"/>
      <c r="F72" s="84"/>
      <c r="G72" s="84"/>
      <c r="H72" s="13"/>
      <c r="I72" s="13"/>
      <c r="J72" s="13"/>
      <c r="K72" s="13"/>
      <c r="L72" s="13"/>
      <c r="M72" s="13"/>
      <c r="N72" s="13"/>
    </row>
    <row r="73" spans="2:14" s="9" customFormat="1">
      <c r="B73" s="72"/>
      <c r="C73" s="13"/>
      <c r="D73" s="13"/>
      <c r="E73" s="13"/>
      <c r="F73" s="84"/>
      <c r="G73" s="84"/>
      <c r="H73" s="13"/>
      <c r="I73" s="13"/>
      <c r="J73" s="13"/>
      <c r="K73" s="13"/>
      <c r="L73" s="13"/>
      <c r="M73" s="13"/>
      <c r="N73" s="13"/>
    </row>
    <row r="74" spans="2:14" s="9" customFormat="1">
      <c r="B74" s="72"/>
      <c r="C74" s="13"/>
      <c r="D74" s="13"/>
      <c r="E74" s="13"/>
      <c r="F74" s="84"/>
      <c r="G74" s="84"/>
      <c r="H74" s="13"/>
      <c r="I74" s="13"/>
      <c r="J74" s="13"/>
      <c r="K74" s="13"/>
      <c r="L74" s="13"/>
      <c r="M74" s="13"/>
      <c r="N74" s="13"/>
    </row>
    <row r="75" spans="2:14" s="9" customFormat="1">
      <c r="B75" s="72"/>
      <c r="C75" s="13"/>
      <c r="D75" s="13"/>
      <c r="E75" s="13"/>
      <c r="F75" s="84"/>
      <c r="G75" s="84"/>
      <c r="H75" s="13"/>
      <c r="I75" s="13"/>
      <c r="J75" s="13"/>
      <c r="K75" s="13"/>
      <c r="L75" s="13"/>
      <c r="M75" s="13"/>
      <c r="N75" s="13"/>
    </row>
    <row r="76" spans="2:14" s="9" customFormat="1">
      <c r="B76" s="72"/>
      <c r="C76" s="13"/>
      <c r="D76" s="13"/>
      <c r="E76" s="13"/>
      <c r="F76" s="84"/>
      <c r="G76" s="84"/>
      <c r="H76" s="13"/>
      <c r="I76" s="13"/>
      <c r="J76" s="13"/>
      <c r="K76" s="13"/>
      <c r="L76" s="13"/>
      <c r="M76" s="13"/>
      <c r="N76" s="13"/>
    </row>
    <row r="77" spans="2:14" s="9" customFormat="1">
      <c r="B77" s="72"/>
      <c r="C77" s="13"/>
      <c r="D77" s="13"/>
      <c r="E77" s="13"/>
      <c r="F77" s="84"/>
      <c r="G77" s="84"/>
      <c r="H77" s="13"/>
      <c r="I77" s="13"/>
      <c r="J77" s="13"/>
      <c r="K77" s="13"/>
      <c r="L77" s="13"/>
      <c r="M77" s="13"/>
      <c r="N77" s="13"/>
    </row>
    <row r="78" spans="2:14" s="9" customFormat="1">
      <c r="B78" s="72"/>
      <c r="C78" s="13"/>
      <c r="D78" s="13"/>
      <c r="E78" s="13"/>
      <c r="F78" s="84"/>
      <c r="G78" s="84"/>
      <c r="H78" s="13"/>
      <c r="I78" s="13"/>
      <c r="J78" s="13"/>
      <c r="K78" s="13"/>
      <c r="L78" s="13"/>
      <c r="M78" s="13"/>
      <c r="N78" s="13"/>
    </row>
    <row r="79" spans="2:14" s="9" customFormat="1">
      <c r="B79" s="72"/>
      <c r="C79" s="13"/>
      <c r="D79" s="13"/>
      <c r="E79" s="13"/>
      <c r="F79" s="84"/>
      <c r="G79" s="84"/>
      <c r="H79" s="13"/>
      <c r="I79" s="13"/>
      <c r="J79" s="13"/>
      <c r="K79" s="13"/>
      <c r="L79" s="13"/>
      <c r="M79" s="13"/>
      <c r="N79" s="13"/>
    </row>
    <row r="80" spans="2:14" s="9" customFormat="1">
      <c r="B80" s="72"/>
      <c r="C80" s="13"/>
      <c r="D80" s="13"/>
      <c r="E80" s="13"/>
      <c r="F80" s="84"/>
      <c r="G80" s="84"/>
      <c r="H80" s="13"/>
      <c r="I80" s="13"/>
      <c r="J80" s="13"/>
      <c r="K80" s="13"/>
      <c r="L80" s="13"/>
      <c r="M80" s="13"/>
      <c r="N80" s="13"/>
    </row>
    <row r="81" spans="2:14" s="9" customFormat="1">
      <c r="B81" s="72"/>
      <c r="C81" s="13"/>
      <c r="D81" s="13"/>
      <c r="E81" s="13"/>
      <c r="F81" s="84"/>
      <c r="G81" s="84"/>
      <c r="H81" s="13"/>
      <c r="I81" s="13"/>
      <c r="J81" s="13"/>
      <c r="K81" s="13"/>
      <c r="L81" s="13"/>
      <c r="M81" s="13"/>
      <c r="N81" s="13"/>
    </row>
    <row r="82" spans="2:14" s="9" customFormat="1">
      <c r="B82" s="72"/>
      <c r="C82" s="13"/>
      <c r="D82" s="13"/>
      <c r="E82" s="13"/>
      <c r="F82" s="84"/>
      <c r="G82" s="84"/>
      <c r="H82" s="13"/>
      <c r="I82" s="13"/>
      <c r="J82" s="13"/>
      <c r="K82" s="13"/>
      <c r="L82" s="13"/>
      <c r="M82" s="13"/>
      <c r="N82" s="13"/>
    </row>
    <row r="83" spans="2:14" s="9" customFormat="1">
      <c r="B83" s="72"/>
      <c r="C83" s="13"/>
      <c r="D83" s="13"/>
      <c r="E83" s="13"/>
      <c r="F83" s="84"/>
      <c r="G83" s="84"/>
      <c r="H83" s="13"/>
      <c r="I83" s="13"/>
      <c r="J83" s="13"/>
      <c r="K83" s="13"/>
      <c r="L83" s="13"/>
      <c r="M83" s="13"/>
      <c r="N83" s="13"/>
    </row>
    <row r="84" spans="2:14" s="9" customFormat="1">
      <c r="B84" s="72"/>
      <c r="C84" s="13"/>
      <c r="D84" s="13"/>
      <c r="E84" s="13"/>
      <c r="F84" s="84"/>
      <c r="G84" s="84"/>
      <c r="H84" s="13"/>
      <c r="I84" s="13"/>
      <c r="J84" s="13"/>
      <c r="K84" s="13"/>
      <c r="L84" s="13"/>
      <c r="M84" s="13"/>
      <c r="N84" s="13"/>
    </row>
    <row r="85" spans="2:14" s="9" customFormat="1">
      <c r="B85" s="72"/>
      <c r="C85" s="13"/>
      <c r="D85" s="13"/>
      <c r="E85" s="13"/>
      <c r="F85" s="84"/>
      <c r="G85" s="84"/>
      <c r="H85" s="13"/>
      <c r="I85" s="13"/>
      <c r="J85" s="13"/>
      <c r="K85" s="13"/>
      <c r="L85" s="13"/>
      <c r="M85" s="13"/>
      <c r="N85" s="13"/>
    </row>
    <row r="86" spans="2:14" s="9" customFormat="1">
      <c r="B86" s="72"/>
      <c r="C86" s="13"/>
      <c r="D86" s="13"/>
      <c r="E86" s="13"/>
      <c r="F86" s="84"/>
      <c r="G86" s="84"/>
      <c r="H86" s="13"/>
      <c r="I86" s="13"/>
      <c r="J86" s="13"/>
      <c r="K86" s="13"/>
      <c r="L86" s="13"/>
      <c r="M86" s="13"/>
      <c r="N86" s="13"/>
    </row>
    <row r="87" spans="2:14" s="9" customFormat="1">
      <c r="B87" s="72"/>
      <c r="C87" s="13"/>
      <c r="D87" s="13"/>
      <c r="E87" s="13"/>
      <c r="F87" s="84"/>
      <c r="G87" s="84"/>
      <c r="H87" s="13"/>
      <c r="I87" s="13"/>
      <c r="J87" s="13"/>
      <c r="K87" s="13"/>
      <c r="L87" s="13"/>
      <c r="M87" s="13"/>
      <c r="N87" s="13"/>
    </row>
    <row r="88" spans="2:14" s="9" customFormat="1">
      <c r="B88" s="72"/>
      <c r="C88" s="13"/>
      <c r="D88" s="13"/>
      <c r="E88" s="13"/>
      <c r="F88" s="84"/>
      <c r="G88" s="84"/>
      <c r="H88" s="13"/>
      <c r="I88" s="13"/>
      <c r="J88" s="13"/>
      <c r="K88" s="13"/>
      <c r="L88" s="13"/>
      <c r="M88" s="13"/>
      <c r="N88" s="13"/>
    </row>
    <row r="89" spans="2:14" s="9" customFormat="1">
      <c r="B89" s="72"/>
      <c r="C89" s="13"/>
      <c r="D89" s="13"/>
      <c r="E89" s="13"/>
      <c r="F89" s="84"/>
      <c r="G89" s="84"/>
      <c r="H89" s="13"/>
      <c r="I89" s="13"/>
      <c r="J89" s="13"/>
      <c r="K89" s="13"/>
      <c r="L89" s="13"/>
      <c r="M89" s="13"/>
      <c r="N89" s="13"/>
    </row>
    <row r="90" spans="2:14" s="9" customFormat="1">
      <c r="B90" s="72"/>
      <c r="C90" s="13"/>
      <c r="D90" s="13"/>
      <c r="E90" s="13"/>
      <c r="F90" s="84"/>
      <c r="G90" s="84"/>
      <c r="H90" s="13"/>
      <c r="I90" s="13"/>
      <c r="J90" s="13"/>
      <c r="K90" s="13"/>
      <c r="L90" s="13"/>
      <c r="M90" s="13"/>
      <c r="N90" s="13"/>
    </row>
    <row r="91" spans="2:14" s="9" customFormat="1">
      <c r="B91" s="72"/>
      <c r="C91" s="13"/>
      <c r="D91" s="13"/>
      <c r="E91" s="13"/>
      <c r="F91" s="84"/>
      <c r="G91" s="84"/>
      <c r="H91" s="13"/>
      <c r="I91" s="13"/>
      <c r="J91" s="13"/>
      <c r="K91" s="13"/>
      <c r="L91" s="13"/>
      <c r="M91" s="13"/>
      <c r="N91" s="13"/>
    </row>
    <row r="92" spans="2:14" s="9" customFormat="1">
      <c r="B92" s="72"/>
      <c r="C92" s="13"/>
      <c r="D92" s="13"/>
      <c r="E92" s="13"/>
      <c r="F92" s="84"/>
      <c r="G92" s="84"/>
      <c r="H92" s="13"/>
      <c r="I92" s="13"/>
      <c r="J92" s="13"/>
      <c r="K92" s="13"/>
      <c r="L92" s="13"/>
      <c r="M92" s="13"/>
      <c r="N92" s="13"/>
    </row>
    <row r="93" spans="2:14" s="9" customFormat="1">
      <c r="B93" s="72"/>
      <c r="C93" s="13"/>
      <c r="D93" s="13"/>
      <c r="E93" s="13"/>
      <c r="F93" s="84"/>
      <c r="G93" s="84"/>
      <c r="H93" s="13"/>
      <c r="I93" s="13"/>
      <c r="J93" s="13"/>
      <c r="K93" s="13"/>
      <c r="L93" s="13"/>
      <c r="M93" s="13"/>
      <c r="N93" s="13"/>
    </row>
    <row r="94" spans="2:14" s="9" customFormat="1">
      <c r="B94" s="72"/>
      <c r="C94" s="13"/>
      <c r="D94" s="13"/>
      <c r="E94" s="13"/>
      <c r="F94" s="84"/>
      <c r="G94" s="84"/>
      <c r="H94" s="13"/>
      <c r="I94" s="13"/>
      <c r="J94" s="13"/>
      <c r="K94" s="13"/>
      <c r="L94" s="13"/>
      <c r="M94" s="13"/>
      <c r="N94" s="13"/>
    </row>
    <row r="95" spans="2:14" s="9" customFormat="1">
      <c r="B95" s="72"/>
      <c r="C95" s="13"/>
      <c r="D95" s="13"/>
      <c r="E95" s="13"/>
      <c r="F95" s="84"/>
      <c r="G95" s="84"/>
      <c r="H95" s="13"/>
      <c r="I95" s="13"/>
      <c r="J95" s="13"/>
      <c r="K95" s="13"/>
      <c r="L95" s="13"/>
      <c r="M95" s="13"/>
      <c r="N95" s="13"/>
    </row>
    <row r="96" spans="2:14" s="9" customFormat="1">
      <c r="B96" s="72"/>
      <c r="C96" s="13"/>
      <c r="D96" s="13"/>
      <c r="E96" s="13"/>
      <c r="F96" s="84"/>
      <c r="G96" s="84"/>
      <c r="H96" s="13"/>
      <c r="I96" s="13"/>
      <c r="J96" s="13"/>
      <c r="K96" s="13"/>
      <c r="L96" s="13"/>
      <c r="M96" s="13"/>
      <c r="N96" s="13"/>
    </row>
    <row r="97" spans="2:14" s="9" customFormat="1">
      <c r="B97" s="72"/>
      <c r="C97" s="13"/>
      <c r="D97" s="13"/>
      <c r="E97" s="13"/>
      <c r="F97" s="84"/>
      <c r="G97" s="84"/>
      <c r="H97" s="13"/>
      <c r="I97" s="13"/>
      <c r="J97" s="13"/>
      <c r="K97" s="13"/>
      <c r="L97" s="13"/>
      <c r="M97" s="13"/>
      <c r="N97" s="13"/>
    </row>
    <row r="98" spans="2:14" s="9" customFormat="1">
      <c r="B98" s="72"/>
      <c r="C98" s="13"/>
      <c r="D98" s="13"/>
      <c r="E98" s="13"/>
      <c r="F98" s="84"/>
      <c r="G98" s="84"/>
      <c r="H98" s="13"/>
      <c r="I98" s="13"/>
      <c r="J98" s="13"/>
      <c r="K98" s="13"/>
      <c r="L98" s="13"/>
      <c r="M98" s="13"/>
      <c r="N98" s="13"/>
    </row>
    <row r="99" spans="2:14" s="9" customFormat="1">
      <c r="B99" s="72"/>
      <c r="C99" s="13"/>
      <c r="D99" s="13"/>
      <c r="E99" s="13"/>
      <c r="F99" s="84"/>
      <c r="G99" s="84"/>
      <c r="H99" s="13"/>
      <c r="I99" s="13"/>
      <c r="J99" s="13"/>
      <c r="K99" s="13"/>
      <c r="L99" s="13"/>
      <c r="M99" s="13"/>
      <c r="N99" s="13"/>
    </row>
    <row r="100" spans="2:14" s="9" customFormat="1">
      <c r="B100" s="72"/>
      <c r="C100" s="13"/>
      <c r="D100" s="13"/>
      <c r="E100" s="13"/>
      <c r="F100" s="84"/>
      <c r="G100" s="84"/>
      <c r="H100" s="13"/>
      <c r="I100" s="13"/>
      <c r="J100" s="13"/>
      <c r="K100" s="13"/>
      <c r="L100" s="13"/>
      <c r="M100" s="13"/>
      <c r="N100" s="13"/>
    </row>
    <row r="101" spans="2:14" s="9" customFormat="1">
      <c r="B101" s="72"/>
      <c r="C101" s="13"/>
      <c r="D101" s="13"/>
      <c r="E101" s="13"/>
      <c r="F101" s="84"/>
      <c r="G101" s="84"/>
      <c r="H101" s="13"/>
      <c r="I101" s="13"/>
      <c r="J101" s="13"/>
      <c r="K101" s="13"/>
      <c r="L101" s="13"/>
      <c r="M101" s="13"/>
      <c r="N101" s="13"/>
    </row>
    <row r="102" spans="2:14" s="9" customFormat="1">
      <c r="B102" s="72"/>
      <c r="C102" s="13"/>
      <c r="D102" s="13"/>
      <c r="E102" s="13"/>
      <c r="F102" s="84"/>
      <c r="G102" s="84"/>
      <c r="H102" s="13"/>
      <c r="I102" s="13"/>
      <c r="J102" s="13"/>
      <c r="K102" s="13"/>
      <c r="L102" s="13"/>
      <c r="M102" s="13"/>
      <c r="N102" s="13"/>
    </row>
    <row r="103" spans="2:14" s="9" customFormat="1">
      <c r="B103" s="72"/>
      <c r="C103" s="13"/>
      <c r="D103" s="13"/>
      <c r="E103" s="13"/>
      <c r="F103" s="84"/>
      <c r="G103" s="84"/>
      <c r="H103" s="13"/>
      <c r="I103" s="13"/>
      <c r="J103" s="13"/>
      <c r="K103" s="13"/>
      <c r="L103" s="13"/>
      <c r="M103" s="13"/>
      <c r="N103" s="13"/>
    </row>
    <row r="104" spans="2:14" s="9" customFormat="1">
      <c r="B104" s="72"/>
      <c r="C104" s="13"/>
      <c r="D104" s="13"/>
      <c r="E104" s="13"/>
      <c r="F104" s="84"/>
      <c r="G104" s="84"/>
      <c r="H104" s="13"/>
      <c r="I104" s="13"/>
      <c r="J104" s="13"/>
      <c r="K104" s="13"/>
      <c r="L104" s="13"/>
      <c r="M104" s="13"/>
      <c r="N104" s="13"/>
    </row>
    <row r="105" spans="2:14" s="9" customFormat="1">
      <c r="B105" s="72"/>
      <c r="C105" s="13"/>
      <c r="D105" s="13"/>
      <c r="E105" s="13"/>
      <c r="F105" s="84"/>
      <c r="G105" s="84"/>
      <c r="H105" s="13"/>
      <c r="I105" s="13"/>
      <c r="J105" s="13"/>
      <c r="K105" s="13"/>
      <c r="L105" s="13"/>
      <c r="M105" s="13"/>
      <c r="N105" s="13"/>
    </row>
    <row r="106" spans="2:14" s="9" customFormat="1">
      <c r="B106" s="72"/>
      <c r="C106" s="13"/>
      <c r="D106" s="13"/>
      <c r="E106" s="13"/>
      <c r="F106" s="84"/>
      <c r="G106" s="84"/>
      <c r="H106" s="13"/>
      <c r="I106" s="13"/>
      <c r="J106" s="13"/>
      <c r="K106" s="13"/>
      <c r="L106" s="13"/>
      <c r="M106" s="13"/>
      <c r="N106" s="13"/>
    </row>
    <row r="107" spans="2:14" s="9" customFormat="1">
      <c r="B107" s="72"/>
      <c r="C107" s="13"/>
      <c r="D107" s="13"/>
      <c r="E107" s="13"/>
      <c r="F107" s="84"/>
      <c r="G107" s="84"/>
      <c r="H107" s="13"/>
      <c r="I107" s="13"/>
      <c r="J107" s="13"/>
      <c r="K107" s="13"/>
      <c r="L107" s="13"/>
      <c r="M107" s="13"/>
      <c r="N107" s="13"/>
    </row>
    <row r="108" spans="2:14" s="9" customFormat="1">
      <c r="B108" s="72"/>
      <c r="C108" s="13"/>
      <c r="D108" s="13"/>
      <c r="E108" s="13"/>
      <c r="F108" s="84"/>
      <c r="G108" s="84"/>
      <c r="H108" s="13"/>
      <c r="I108" s="13"/>
      <c r="J108" s="13"/>
      <c r="K108" s="13"/>
      <c r="L108" s="13"/>
      <c r="M108" s="13"/>
      <c r="N108" s="13"/>
    </row>
    <row r="109" spans="2:14" s="9" customFormat="1">
      <c r="B109" s="72"/>
      <c r="C109" s="13"/>
      <c r="D109" s="13"/>
      <c r="E109" s="13"/>
      <c r="F109" s="84"/>
      <c r="G109" s="84"/>
      <c r="H109" s="13"/>
      <c r="I109" s="13"/>
      <c r="J109" s="13"/>
      <c r="K109" s="13"/>
      <c r="L109" s="13"/>
      <c r="M109" s="13"/>
      <c r="N109" s="13"/>
    </row>
    <row r="110" spans="2:14" s="9" customFormat="1">
      <c r="B110" s="72"/>
      <c r="C110" s="13"/>
      <c r="D110" s="13"/>
      <c r="E110" s="13"/>
      <c r="F110" s="84"/>
      <c r="G110" s="84"/>
      <c r="H110" s="13"/>
      <c r="I110" s="13"/>
      <c r="J110" s="13"/>
      <c r="K110" s="13"/>
      <c r="L110" s="13"/>
      <c r="M110" s="13"/>
      <c r="N110" s="13"/>
    </row>
    <row r="111" spans="2:14" s="9" customFormat="1">
      <c r="B111" s="72"/>
      <c r="C111" s="13"/>
      <c r="D111" s="13"/>
      <c r="E111" s="13"/>
      <c r="F111" s="84"/>
      <c r="G111" s="84"/>
      <c r="H111" s="13"/>
      <c r="I111" s="13"/>
      <c r="J111" s="13"/>
      <c r="K111" s="13"/>
      <c r="L111" s="13"/>
      <c r="M111" s="13"/>
      <c r="N111" s="13"/>
    </row>
    <row r="112" spans="2:14" s="9" customFormat="1">
      <c r="B112" s="72"/>
      <c r="C112" s="13"/>
      <c r="D112" s="13"/>
      <c r="E112" s="13"/>
      <c r="F112" s="84"/>
      <c r="G112" s="84"/>
      <c r="H112" s="13"/>
      <c r="I112" s="13"/>
      <c r="J112" s="13"/>
      <c r="K112" s="13"/>
      <c r="L112" s="13"/>
      <c r="M112" s="13"/>
      <c r="N112" s="13"/>
    </row>
    <row r="113" spans="2:14" s="9" customFormat="1">
      <c r="B113" s="72"/>
      <c r="C113" s="13"/>
      <c r="D113" s="13"/>
      <c r="E113" s="13"/>
      <c r="F113" s="84"/>
      <c r="G113" s="84"/>
      <c r="H113" s="13"/>
      <c r="I113" s="13"/>
      <c r="J113" s="13"/>
      <c r="K113" s="13"/>
      <c r="L113" s="13"/>
      <c r="M113" s="13"/>
      <c r="N113" s="13"/>
    </row>
    <row r="114" spans="2:14" s="9" customFormat="1">
      <c r="B114" s="72"/>
      <c r="C114" s="13"/>
      <c r="D114" s="13"/>
      <c r="E114" s="13"/>
      <c r="F114" s="84"/>
      <c r="G114" s="84"/>
      <c r="H114" s="13"/>
      <c r="I114" s="13"/>
      <c r="J114" s="13"/>
      <c r="K114" s="13"/>
      <c r="L114" s="13"/>
      <c r="M114" s="13"/>
      <c r="N114" s="13"/>
    </row>
    <row r="115" spans="2:14" s="9" customFormat="1">
      <c r="B115" s="72"/>
      <c r="C115" s="13"/>
      <c r="D115" s="13"/>
      <c r="E115" s="13"/>
      <c r="F115" s="84"/>
      <c r="G115" s="84"/>
      <c r="H115" s="13"/>
      <c r="I115" s="13"/>
      <c r="J115" s="13"/>
      <c r="K115" s="13"/>
      <c r="L115" s="13"/>
      <c r="M115" s="13"/>
      <c r="N115" s="13"/>
    </row>
    <row r="116" spans="2:14" s="9" customFormat="1">
      <c r="B116" s="72"/>
      <c r="C116" s="13"/>
      <c r="D116" s="13"/>
      <c r="E116" s="13"/>
      <c r="F116" s="84"/>
      <c r="G116" s="84"/>
      <c r="H116" s="13"/>
      <c r="I116" s="13"/>
      <c r="J116" s="13"/>
      <c r="K116" s="13"/>
      <c r="L116" s="13"/>
      <c r="M116" s="13"/>
      <c r="N116" s="13"/>
    </row>
    <row r="117" spans="2:14" s="9" customFormat="1">
      <c r="B117" s="72"/>
      <c r="C117" s="13"/>
      <c r="D117" s="13"/>
      <c r="E117" s="13"/>
      <c r="F117" s="84"/>
      <c r="G117" s="84"/>
      <c r="H117" s="13"/>
      <c r="I117" s="13"/>
      <c r="J117" s="13"/>
      <c r="K117" s="13"/>
      <c r="L117" s="13"/>
      <c r="M117" s="13"/>
      <c r="N117" s="13"/>
    </row>
    <row r="118" spans="2:14" s="9" customFormat="1">
      <c r="B118" s="72"/>
      <c r="C118" s="13"/>
      <c r="D118" s="13"/>
      <c r="E118" s="13"/>
      <c r="F118" s="84"/>
      <c r="G118" s="84"/>
      <c r="H118" s="13"/>
      <c r="I118" s="13"/>
      <c r="J118" s="13"/>
      <c r="K118" s="13"/>
      <c r="L118" s="13"/>
      <c r="M118" s="13"/>
      <c r="N118" s="13"/>
    </row>
    <row r="119" spans="2:14" s="9" customFormat="1">
      <c r="B119" s="72"/>
      <c r="C119" s="13"/>
      <c r="D119" s="13"/>
      <c r="E119" s="13"/>
      <c r="F119" s="84"/>
      <c r="G119" s="84"/>
      <c r="H119" s="13"/>
      <c r="I119" s="13"/>
      <c r="J119" s="13"/>
      <c r="K119" s="13"/>
      <c r="L119" s="13"/>
      <c r="M119" s="13"/>
      <c r="N119" s="13"/>
    </row>
    <row r="120" spans="2:14" s="9" customFormat="1">
      <c r="B120" s="72"/>
      <c r="C120" s="13"/>
      <c r="D120" s="13"/>
      <c r="E120" s="13"/>
      <c r="F120" s="84"/>
      <c r="G120" s="84"/>
      <c r="H120" s="13"/>
      <c r="I120" s="13"/>
      <c r="J120" s="13"/>
      <c r="K120" s="13"/>
      <c r="L120" s="13"/>
      <c r="M120" s="13"/>
      <c r="N120" s="13"/>
    </row>
    <row r="121" spans="2:14" s="9" customFormat="1">
      <c r="B121" s="72"/>
      <c r="C121" s="13"/>
      <c r="D121" s="13"/>
      <c r="E121" s="13"/>
      <c r="F121" s="84"/>
      <c r="G121" s="84"/>
      <c r="H121" s="13"/>
      <c r="I121" s="13"/>
      <c r="J121" s="13"/>
      <c r="K121" s="13"/>
      <c r="L121" s="13"/>
      <c r="M121" s="13"/>
      <c r="N121" s="13"/>
    </row>
    <row r="122" spans="2:14" s="9" customFormat="1">
      <c r="B122" s="72"/>
      <c r="C122" s="13"/>
      <c r="D122" s="13"/>
      <c r="E122" s="13"/>
      <c r="F122" s="84"/>
      <c r="G122" s="84"/>
      <c r="H122" s="13"/>
      <c r="I122" s="13"/>
      <c r="J122" s="13"/>
      <c r="K122" s="13"/>
      <c r="L122" s="13"/>
      <c r="M122" s="13"/>
      <c r="N122" s="13"/>
    </row>
    <row r="123" spans="2:14" s="9" customFormat="1">
      <c r="B123" s="72"/>
      <c r="C123" s="13"/>
      <c r="D123" s="13"/>
      <c r="E123" s="13"/>
      <c r="F123" s="84"/>
      <c r="G123" s="84"/>
      <c r="H123" s="13"/>
      <c r="I123" s="13"/>
      <c r="J123" s="13"/>
      <c r="K123" s="13"/>
      <c r="L123" s="13"/>
      <c r="M123" s="13"/>
      <c r="N123" s="13"/>
    </row>
    <row r="124" spans="2:14" s="9" customFormat="1">
      <c r="B124" s="72"/>
      <c r="C124" s="13"/>
      <c r="D124" s="13"/>
      <c r="E124" s="13"/>
      <c r="F124" s="84"/>
      <c r="G124" s="84"/>
      <c r="H124" s="13"/>
      <c r="I124" s="13"/>
      <c r="J124" s="13"/>
      <c r="K124" s="13"/>
      <c r="L124" s="13"/>
      <c r="M124" s="13"/>
      <c r="N124" s="13"/>
    </row>
    <row r="125" spans="2:14" s="9" customFormat="1">
      <c r="B125" s="72"/>
      <c r="C125" s="13"/>
      <c r="D125" s="13"/>
      <c r="E125" s="13"/>
      <c r="F125" s="84"/>
      <c r="G125" s="84"/>
      <c r="H125" s="13"/>
      <c r="I125" s="13"/>
      <c r="J125" s="13"/>
      <c r="K125" s="13"/>
      <c r="L125" s="13"/>
      <c r="M125" s="13"/>
      <c r="N125" s="13"/>
    </row>
    <row r="126" spans="2:14" s="9" customFormat="1">
      <c r="B126" s="72"/>
      <c r="C126" s="13"/>
      <c r="D126" s="13"/>
      <c r="E126" s="13"/>
      <c r="F126" s="84"/>
      <c r="G126" s="84"/>
      <c r="H126" s="13"/>
      <c r="I126" s="13"/>
      <c r="J126" s="13"/>
      <c r="K126" s="13"/>
      <c r="L126" s="13"/>
      <c r="M126" s="13"/>
      <c r="N126" s="13"/>
    </row>
    <row r="127" spans="2:14" s="9" customFormat="1">
      <c r="B127" s="72"/>
      <c r="C127" s="13"/>
      <c r="D127" s="13"/>
      <c r="E127" s="13"/>
      <c r="F127" s="84"/>
      <c r="G127" s="84"/>
      <c r="H127" s="13"/>
      <c r="I127" s="13"/>
      <c r="J127" s="13"/>
      <c r="K127" s="13"/>
      <c r="L127" s="13"/>
      <c r="M127" s="13"/>
      <c r="N127" s="13"/>
    </row>
    <row r="128" spans="2:14" s="9" customFormat="1">
      <c r="B128" s="72"/>
      <c r="C128" s="13"/>
      <c r="D128" s="13"/>
      <c r="E128" s="13"/>
      <c r="F128" s="84"/>
      <c r="G128" s="84"/>
      <c r="H128" s="13"/>
      <c r="I128" s="13"/>
      <c r="J128" s="13"/>
      <c r="K128" s="13"/>
      <c r="L128" s="13"/>
      <c r="M128" s="13"/>
      <c r="N128" s="13"/>
    </row>
    <row r="129" spans="2:14" s="9" customFormat="1">
      <c r="B129" s="72"/>
      <c r="C129" s="13"/>
      <c r="D129" s="13"/>
      <c r="E129" s="13"/>
      <c r="F129" s="84"/>
      <c r="G129" s="84"/>
      <c r="H129" s="13"/>
      <c r="I129" s="13"/>
      <c r="J129" s="13"/>
      <c r="K129" s="13"/>
      <c r="L129" s="13"/>
      <c r="M129" s="13"/>
      <c r="N129" s="13"/>
    </row>
    <row r="130" spans="2:14" s="9" customFormat="1">
      <c r="B130" s="72"/>
      <c r="C130" s="13"/>
      <c r="D130" s="13"/>
      <c r="E130" s="13"/>
      <c r="F130" s="84"/>
      <c r="G130" s="84"/>
      <c r="H130" s="13"/>
      <c r="I130" s="13"/>
      <c r="J130" s="13"/>
      <c r="K130" s="13"/>
      <c r="L130" s="13"/>
      <c r="M130" s="13"/>
      <c r="N130" s="13"/>
    </row>
    <row r="131" spans="2:14" s="9" customFormat="1">
      <c r="B131" s="72"/>
      <c r="C131" s="13"/>
      <c r="D131" s="13"/>
      <c r="E131" s="13"/>
      <c r="F131" s="84"/>
      <c r="G131" s="84"/>
      <c r="H131" s="13"/>
      <c r="I131" s="13"/>
      <c r="J131" s="13"/>
      <c r="K131" s="13"/>
      <c r="L131" s="13"/>
      <c r="M131" s="13"/>
      <c r="N131" s="13"/>
    </row>
    <row r="132" spans="2:14" s="9" customFormat="1">
      <c r="B132" s="72"/>
      <c r="C132" s="13"/>
      <c r="D132" s="13"/>
      <c r="E132" s="13"/>
      <c r="F132" s="84"/>
      <c r="G132" s="84"/>
      <c r="H132" s="13"/>
      <c r="I132" s="13"/>
      <c r="J132" s="13"/>
      <c r="K132" s="13"/>
      <c r="L132" s="13"/>
      <c r="M132" s="13"/>
      <c r="N132" s="13"/>
    </row>
    <row r="133" spans="2:14" s="9" customFormat="1">
      <c r="B133" s="72"/>
      <c r="C133" s="13"/>
      <c r="D133" s="13"/>
      <c r="E133" s="13"/>
      <c r="F133" s="84"/>
      <c r="G133" s="84"/>
      <c r="H133" s="13"/>
      <c r="I133" s="13"/>
      <c r="J133" s="13"/>
      <c r="K133" s="13"/>
      <c r="L133" s="13"/>
      <c r="M133" s="13"/>
      <c r="N133" s="13"/>
    </row>
    <row r="134" spans="2:14" s="9" customFormat="1">
      <c r="B134" s="72"/>
      <c r="C134" s="13"/>
      <c r="D134" s="13"/>
      <c r="E134" s="13"/>
      <c r="F134" s="84"/>
      <c r="G134" s="84"/>
      <c r="H134" s="13"/>
      <c r="I134" s="13"/>
      <c r="J134" s="13"/>
      <c r="K134" s="13"/>
      <c r="L134" s="13"/>
      <c r="M134" s="13"/>
      <c r="N134" s="13"/>
    </row>
    <row r="135" spans="2:14" s="9" customFormat="1">
      <c r="B135" s="72"/>
      <c r="C135" s="13"/>
      <c r="D135" s="13"/>
      <c r="E135" s="13"/>
      <c r="F135" s="84"/>
      <c r="G135" s="84"/>
      <c r="H135" s="13"/>
      <c r="I135" s="13"/>
      <c r="J135" s="13"/>
      <c r="K135" s="13"/>
      <c r="L135" s="13"/>
      <c r="M135" s="13"/>
      <c r="N135" s="13"/>
    </row>
    <row r="136" spans="2:14" s="9" customFormat="1">
      <c r="B136" s="72"/>
      <c r="C136" s="13"/>
      <c r="D136" s="13"/>
      <c r="E136" s="13"/>
      <c r="F136" s="84"/>
      <c r="G136" s="84"/>
      <c r="H136" s="13"/>
      <c r="I136" s="13"/>
      <c r="J136" s="13"/>
      <c r="K136" s="13"/>
      <c r="L136" s="13"/>
      <c r="M136" s="13"/>
      <c r="N136" s="13"/>
    </row>
    <row r="137" spans="2:14" s="9" customFormat="1">
      <c r="B137" s="72"/>
      <c r="C137" s="13"/>
      <c r="D137" s="13"/>
      <c r="E137" s="13"/>
      <c r="F137" s="84"/>
      <c r="G137" s="84"/>
      <c r="H137" s="13"/>
      <c r="I137" s="13"/>
      <c r="J137" s="13"/>
      <c r="K137" s="13"/>
      <c r="L137" s="13"/>
      <c r="M137" s="13"/>
      <c r="N137" s="13"/>
    </row>
    <row r="138" spans="2:14" s="9" customFormat="1">
      <c r="B138" s="72"/>
      <c r="C138" s="13"/>
      <c r="D138" s="13"/>
      <c r="E138" s="13"/>
      <c r="F138" s="84"/>
      <c r="G138" s="84"/>
      <c r="H138" s="13"/>
      <c r="I138" s="13"/>
      <c r="J138" s="13"/>
      <c r="K138" s="13"/>
      <c r="L138" s="13"/>
      <c r="M138" s="13"/>
      <c r="N138" s="13"/>
    </row>
    <row r="139" spans="2:14" s="9" customFormat="1">
      <c r="B139" s="72"/>
      <c r="C139" s="13"/>
      <c r="D139" s="13"/>
      <c r="E139" s="13"/>
      <c r="F139" s="84"/>
      <c r="G139" s="84"/>
      <c r="H139" s="13"/>
      <c r="I139" s="13"/>
      <c r="J139" s="13"/>
      <c r="K139" s="13"/>
      <c r="L139" s="13"/>
      <c r="M139" s="13"/>
      <c r="N139" s="13"/>
    </row>
    <row r="140" spans="2:14" s="9" customFormat="1">
      <c r="B140" s="72"/>
      <c r="C140" s="13"/>
      <c r="D140" s="13"/>
      <c r="E140" s="13"/>
      <c r="F140" s="84"/>
      <c r="G140" s="84"/>
      <c r="H140" s="13"/>
      <c r="I140" s="13"/>
      <c r="J140" s="13"/>
      <c r="K140" s="13"/>
      <c r="L140" s="13"/>
      <c r="M140" s="13"/>
      <c r="N140" s="13"/>
    </row>
    <row r="141" spans="2:14" s="9" customFormat="1">
      <c r="B141" s="72"/>
      <c r="C141" s="13"/>
      <c r="D141" s="13"/>
      <c r="E141" s="13"/>
      <c r="F141" s="84"/>
      <c r="G141" s="84"/>
      <c r="H141" s="13"/>
      <c r="I141" s="13"/>
      <c r="J141" s="13"/>
      <c r="K141" s="13"/>
      <c r="L141" s="13"/>
      <c r="M141" s="13"/>
      <c r="N141" s="13"/>
    </row>
    <row r="142" spans="2:14" s="9" customFormat="1">
      <c r="B142" s="72"/>
      <c r="C142" s="13"/>
      <c r="D142" s="13"/>
      <c r="E142" s="13"/>
      <c r="F142" s="84"/>
      <c r="G142" s="84"/>
      <c r="H142" s="13"/>
      <c r="I142" s="13"/>
      <c r="J142" s="13"/>
      <c r="K142" s="13"/>
      <c r="L142" s="13"/>
      <c r="M142" s="13"/>
      <c r="N142" s="13"/>
    </row>
    <row r="143" spans="2:14" s="9" customFormat="1">
      <c r="B143" s="72"/>
      <c r="C143" s="13"/>
      <c r="D143" s="13"/>
      <c r="E143" s="13"/>
      <c r="F143" s="84"/>
      <c r="G143" s="84"/>
      <c r="H143" s="13"/>
      <c r="I143" s="13"/>
      <c r="J143" s="13"/>
      <c r="K143" s="13"/>
      <c r="L143" s="13"/>
      <c r="M143" s="13"/>
      <c r="N143" s="13"/>
    </row>
    <row r="144" spans="2:14" s="9" customFormat="1">
      <c r="B144" s="72"/>
      <c r="C144" s="13"/>
      <c r="D144" s="13"/>
      <c r="E144" s="13"/>
      <c r="F144" s="84"/>
      <c r="G144" s="84"/>
      <c r="H144" s="13"/>
      <c r="I144" s="13"/>
      <c r="J144" s="13"/>
      <c r="K144" s="13"/>
      <c r="L144" s="13"/>
      <c r="M144" s="13"/>
      <c r="N144" s="13"/>
    </row>
    <row r="145" spans="2:15" s="9" customFormat="1">
      <c r="B145" s="72"/>
      <c r="C145" s="13"/>
      <c r="D145" s="13"/>
      <c r="E145" s="13"/>
      <c r="F145" s="84"/>
      <c r="G145" s="84"/>
      <c r="H145" s="13"/>
      <c r="I145" s="13"/>
      <c r="J145" s="13"/>
      <c r="K145" s="13"/>
      <c r="L145" s="13"/>
      <c r="M145" s="13"/>
      <c r="N145" s="13"/>
    </row>
    <row r="146" spans="2:15" s="9" customFormat="1">
      <c r="B146" s="72"/>
      <c r="C146" s="13"/>
      <c r="D146" s="13"/>
      <c r="E146" s="13"/>
      <c r="F146" s="84"/>
      <c r="G146" s="84"/>
      <c r="H146" s="13"/>
      <c r="I146" s="13"/>
      <c r="J146" s="13"/>
      <c r="K146" s="13"/>
      <c r="L146" s="13"/>
      <c r="M146" s="13"/>
      <c r="N146" s="13"/>
    </row>
    <row r="147" spans="2:15" s="9" customFormat="1">
      <c r="B147" s="72"/>
      <c r="C147" s="13"/>
      <c r="D147" s="13"/>
      <c r="E147" s="13"/>
      <c r="F147" s="84"/>
      <c r="G147" s="84"/>
      <c r="H147" s="13"/>
      <c r="I147" s="13"/>
      <c r="J147" s="13"/>
      <c r="K147" s="13"/>
      <c r="L147" s="13"/>
      <c r="M147" s="13"/>
      <c r="N147" s="13"/>
    </row>
    <row r="148" spans="2:15" s="9" customFormat="1">
      <c r="B148" s="72"/>
      <c r="C148" s="13"/>
      <c r="D148" s="13"/>
      <c r="E148" s="13"/>
      <c r="F148" s="84"/>
      <c r="G148" s="84"/>
      <c r="H148" s="13"/>
      <c r="I148" s="13"/>
      <c r="J148" s="13"/>
      <c r="K148" s="13"/>
      <c r="L148" s="13"/>
      <c r="M148" s="13"/>
      <c r="N148" s="13"/>
    </row>
    <row r="149" spans="2:15" s="9" customFormat="1">
      <c r="B149" s="72"/>
      <c r="C149" s="13"/>
      <c r="D149" s="13"/>
      <c r="E149" s="13"/>
      <c r="F149" s="84"/>
      <c r="G149" s="84"/>
      <c r="H149" s="13"/>
      <c r="I149" s="13"/>
      <c r="J149" s="13"/>
      <c r="K149" s="13"/>
      <c r="L149" s="13"/>
      <c r="M149" s="13"/>
      <c r="N149" s="13"/>
    </row>
    <row r="150" spans="2:15" s="9" customFormat="1">
      <c r="B150" s="72"/>
      <c r="C150" s="13"/>
      <c r="D150" s="13"/>
      <c r="E150" s="13"/>
      <c r="F150" s="84"/>
      <c r="G150" s="84"/>
      <c r="H150" s="13"/>
      <c r="I150" s="13"/>
      <c r="J150" s="13"/>
      <c r="K150" s="13"/>
      <c r="L150" s="13"/>
      <c r="M150" s="13"/>
      <c r="N150" s="13"/>
    </row>
    <row r="151" spans="2:15" s="9" customFormat="1">
      <c r="B151" s="72"/>
      <c r="C151" s="13"/>
      <c r="D151" s="13"/>
      <c r="E151" s="13"/>
      <c r="F151" s="84"/>
      <c r="G151" s="84"/>
      <c r="H151" s="13"/>
      <c r="I151" s="13"/>
      <c r="J151" s="13"/>
      <c r="K151" s="13"/>
      <c r="L151" s="13"/>
      <c r="M151" s="13"/>
      <c r="N151" s="13"/>
    </row>
    <row r="152" spans="2:15" s="9" customFormat="1">
      <c r="B152" s="72"/>
      <c r="C152" s="13"/>
      <c r="D152" s="13"/>
      <c r="E152" s="13"/>
      <c r="F152" s="84"/>
      <c r="G152" s="84"/>
      <c r="H152" s="13"/>
      <c r="I152" s="13"/>
      <c r="J152" s="13"/>
      <c r="K152" s="13"/>
      <c r="L152" s="13"/>
      <c r="M152" s="13"/>
      <c r="N152" s="13"/>
    </row>
    <row r="153" spans="2:15" s="9" customFormat="1">
      <c r="B153" s="72"/>
      <c r="C153" s="13"/>
      <c r="D153" s="13"/>
      <c r="E153" s="13"/>
      <c r="F153" s="84"/>
      <c r="G153" s="84"/>
      <c r="H153" s="13"/>
      <c r="I153" s="13"/>
      <c r="J153" s="13"/>
      <c r="K153" s="13"/>
      <c r="L153" s="13"/>
      <c r="M153" s="13"/>
      <c r="N153" s="13"/>
    </row>
    <row r="154" spans="2:15" s="9" customFormat="1">
      <c r="B154" s="72"/>
      <c r="C154" s="13"/>
      <c r="D154" s="13"/>
      <c r="E154" s="13"/>
      <c r="F154" s="84"/>
      <c r="G154" s="84"/>
      <c r="H154" s="13"/>
      <c r="I154" s="13"/>
      <c r="J154" s="13"/>
      <c r="K154" s="13"/>
      <c r="L154" s="13"/>
      <c r="M154" s="13"/>
      <c r="N154" s="13"/>
    </row>
    <row r="155" spans="2:15" s="9" customFormat="1">
      <c r="B155" s="72"/>
      <c r="C155" s="13"/>
      <c r="D155" s="13"/>
      <c r="E155" s="13"/>
      <c r="F155" s="84"/>
      <c r="G155" s="84"/>
      <c r="H155" s="13"/>
      <c r="I155" s="13"/>
      <c r="J155" s="13"/>
      <c r="K155" s="13"/>
      <c r="L155" s="13"/>
      <c r="M155" s="13"/>
      <c r="N155" s="13"/>
    </row>
    <row r="156" spans="2:15" s="9" customFormat="1">
      <c r="B156" s="72">
        <f>PetProfileInfoDatabase!B158</f>
        <v>0</v>
      </c>
      <c r="F156" s="84"/>
      <c r="G156" s="19"/>
    </row>
    <row r="157" spans="2:15">
      <c r="B157" s="74"/>
      <c r="C157" s="8" t="s">
        <v>537</v>
      </c>
      <c r="D157" s="8" t="s">
        <v>9</v>
      </c>
      <c r="E157" s="8" t="s">
        <v>426</v>
      </c>
      <c r="F157" s="84">
        <v>45263</v>
      </c>
      <c r="G157" s="19" t="s">
        <v>443</v>
      </c>
      <c r="H157" s="8" t="s">
        <v>473</v>
      </c>
      <c r="I157" s="8">
        <v>6</v>
      </c>
      <c r="J157" s="8" t="b">
        <v>1</v>
      </c>
      <c r="K157" s="8" t="b">
        <v>1</v>
      </c>
      <c r="L157" s="8" t="b">
        <v>0</v>
      </c>
      <c r="M157" s="8" t="b">
        <v>1</v>
      </c>
      <c r="N157" s="8" t="b">
        <v>0</v>
      </c>
      <c r="O157" s="8" t="s">
        <v>475</v>
      </c>
    </row>
    <row r="158" spans="2:15">
      <c r="B158" s="74"/>
      <c r="F158" s="84"/>
      <c r="G158" s="19"/>
    </row>
    <row r="159" spans="2:15">
      <c r="B159" s="74"/>
      <c r="F159" s="84"/>
      <c r="G159" s="19"/>
    </row>
    <row r="160" spans="2:15">
      <c r="B160" s="74"/>
      <c r="F160" s="84"/>
      <c r="G160" s="19"/>
    </row>
    <row r="161" spans="2:7">
      <c r="B161" s="74"/>
      <c r="F161" s="84"/>
      <c r="G161" s="19"/>
    </row>
    <row r="162" spans="2:7">
      <c r="B162" s="74"/>
      <c r="F162" s="84"/>
      <c r="G162" s="19"/>
    </row>
    <row r="163" spans="2:7">
      <c r="B163" s="74"/>
      <c r="F163" s="84"/>
      <c r="G163" s="19"/>
    </row>
    <row r="164" spans="2:7">
      <c r="B164" s="74"/>
      <c r="F164" s="84"/>
      <c r="G164" s="19"/>
    </row>
    <row r="165" spans="2:7">
      <c r="B165" s="74"/>
      <c r="F165" s="84"/>
      <c r="G165" s="19"/>
    </row>
    <row r="166" spans="2:7">
      <c r="B166" s="74"/>
      <c r="F166" s="84"/>
      <c r="G166" s="19"/>
    </row>
    <row r="167" spans="2:7">
      <c r="B167" s="74"/>
      <c r="F167" s="84"/>
      <c r="G167" s="19"/>
    </row>
    <row r="168" spans="2:7">
      <c r="B168" s="74"/>
      <c r="F168" s="84"/>
      <c r="G168" s="19"/>
    </row>
    <row r="169" spans="2:7">
      <c r="B169" s="74"/>
      <c r="F169" s="84"/>
      <c r="G169" s="19"/>
    </row>
    <row r="170" spans="2:7">
      <c r="B170" s="74"/>
      <c r="F170" s="84"/>
      <c r="G170" s="19"/>
    </row>
    <row r="171" spans="2:7">
      <c r="B171" s="74"/>
      <c r="F171" s="84"/>
      <c r="G171" s="19"/>
    </row>
    <row r="172" spans="2:7">
      <c r="B172" s="74"/>
      <c r="F172" s="84"/>
      <c r="G172" s="19"/>
    </row>
    <row r="173" spans="2:7">
      <c r="B173" s="74"/>
      <c r="F173" s="84"/>
      <c r="G173" s="19"/>
    </row>
    <row r="174" spans="2:7">
      <c r="B174" s="74"/>
      <c r="F174" s="84"/>
      <c r="G174" s="19"/>
    </row>
    <row r="175" spans="2:7">
      <c r="B175" s="74"/>
      <c r="F175" s="84"/>
      <c r="G175" s="19"/>
    </row>
    <row r="176" spans="2:7">
      <c r="B176" s="74"/>
      <c r="F176" s="84"/>
      <c r="G176" s="19"/>
    </row>
    <row r="177" spans="2:7">
      <c r="B177" s="74"/>
      <c r="F177" s="84"/>
      <c r="G177" s="19"/>
    </row>
    <row r="178" spans="2:7">
      <c r="B178" s="74"/>
      <c r="F178" s="84"/>
      <c r="G178" s="19"/>
    </row>
    <row r="179" spans="2:7">
      <c r="B179" s="74"/>
      <c r="F179" s="84"/>
      <c r="G179" s="19"/>
    </row>
    <row r="180" spans="2:7">
      <c r="B180" s="74"/>
      <c r="F180" s="84"/>
      <c r="G180" s="19"/>
    </row>
    <row r="181" spans="2:7">
      <c r="B181" s="74"/>
      <c r="F181" s="84"/>
      <c r="G181" s="19"/>
    </row>
    <row r="182" spans="2:7">
      <c r="B182" s="74"/>
      <c r="F182" s="84"/>
      <c r="G182" s="19"/>
    </row>
    <row r="183" spans="2:7">
      <c r="B183" s="74"/>
      <c r="F183" s="84"/>
      <c r="G183" s="19"/>
    </row>
    <row r="184" spans="2:7">
      <c r="B184" s="74"/>
      <c r="F184" s="84"/>
      <c r="G184" s="19"/>
    </row>
    <row r="185" spans="2:7">
      <c r="B185" s="74"/>
      <c r="F185" s="84"/>
      <c r="G185" s="19"/>
    </row>
    <row r="186" spans="2:7">
      <c r="B186" s="74"/>
      <c r="F186" s="84"/>
      <c r="G186" s="19"/>
    </row>
    <row r="187" spans="2:7">
      <c r="B187" s="74"/>
      <c r="F187" s="84"/>
      <c r="G187" s="19"/>
    </row>
    <row r="188" spans="2:7">
      <c r="B188" s="74"/>
      <c r="F188" s="84"/>
      <c r="G188" s="19"/>
    </row>
    <row r="189" spans="2:7">
      <c r="B189" s="74"/>
      <c r="F189" s="84"/>
      <c r="G189" s="19"/>
    </row>
    <row r="190" spans="2:7">
      <c r="B190" s="74"/>
      <c r="F190" s="84"/>
      <c r="G190" s="19"/>
    </row>
    <row r="191" spans="2:7">
      <c r="B191" s="74"/>
      <c r="F191" s="84"/>
      <c r="G191" s="19"/>
    </row>
    <row r="192" spans="2:7">
      <c r="B192" s="74"/>
      <c r="F192" s="84"/>
      <c r="G192" s="19"/>
    </row>
    <row r="193" spans="2:7">
      <c r="B193" s="74"/>
      <c r="F193" s="84"/>
      <c r="G193" s="19"/>
    </row>
    <row r="194" spans="2:7">
      <c r="B194" s="74"/>
      <c r="F194" s="84"/>
      <c r="G194" s="19"/>
    </row>
    <row r="195" spans="2:7">
      <c r="B195" s="74"/>
      <c r="F195" s="84"/>
      <c r="G195" s="19"/>
    </row>
    <row r="196" spans="2:7">
      <c r="B196" s="74"/>
      <c r="F196" s="84"/>
      <c r="G196" s="19"/>
    </row>
    <row r="197" spans="2:7">
      <c r="B197" s="74"/>
      <c r="F197" s="84"/>
      <c r="G197" s="19"/>
    </row>
    <row r="198" spans="2:7">
      <c r="B198" s="74"/>
      <c r="F198" s="84"/>
      <c r="G198" s="19"/>
    </row>
    <row r="199" spans="2:7">
      <c r="B199" s="74"/>
      <c r="F199" s="84"/>
      <c r="G199" s="19"/>
    </row>
    <row r="200" spans="2:7">
      <c r="B200" s="74"/>
      <c r="F200" s="84"/>
      <c r="G200" s="19"/>
    </row>
    <row r="201" spans="2:7">
      <c r="B201" s="74"/>
      <c r="F201" s="84"/>
      <c r="G201" s="19"/>
    </row>
    <row r="202" spans="2:7">
      <c r="B202" s="74"/>
      <c r="F202" s="84"/>
      <c r="G202" s="19"/>
    </row>
    <row r="203" spans="2:7">
      <c r="B203" s="74"/>
      <c r="F203" s="84"/>
      <c r="G203" s="19"/>
    </row>
    <row r="204" spans="2:7">
      <c r="B204" s="74"/>
      <c r="F204" s="84"/>
      <c r="G204" s="19"/>
    </row>
    <row r="205" spans="2:7">
      <c r="B205" s="74"/>
      <c r="F205" s="84"/>
      <c r="G205" s="19"/>
    </row>
    <row r="206" spans="2:7">
      <c r="B206" s="74"/>
      <c r="F206" s="84"/>
      <c r="G206" s="19"/>
    </row>
    <row r="207" spans="2:7">
      <c r="B207" s="74"/>
      <c r="F207" s="84"/>
      <c r="G207" s="19"/>
    </row>
    <row r="208" spans="2:7">
      <c r="B208" s="74"/>
      <c r="F208" s="84"/>
      <c r="G208" s="19"/>
    </row>
    <row r="209" spans="2:7">
      <c r="B209" s="74"/>
      <c r="F209" s="84"/>
      <c r="G209" s="19"/>
    </row>
    <row r="210" spans="2:7">
      <c r="B210" s="74"/>
      <c r="F210" s="84"/>
      <c r="G210" s="19"/>
    </row>
    <row r="211" spans="2:7">
      <c r="B211" s="74"/>
      <c r="F211" s="84"/>
      <c r="G211" s="19"/>
    </row>
    <row r="212" spans="2:7">
      <c r="B212" s="74"/>
      <c r="F212" s="84"/>
      <c r="G212" s="19"/>
    </row>
    <row r="213" spans="2:7">
      <c r="B213" s="74"/>
      <c r="F213" s="84"/>
      <c r="G213" s="19"/>
    </row>
    <row r="214" spans="2:7">
      <c r="B214" s="74"/>
      <c r="F214" s="84"/>
      <c r="G214" s="19"/>
    </row>
    <row r="215" spans="2:7">
      <c r="B215" s="74"/>
      <c r="F215" s="84"/>
      <c r="G215" s="19"/>
    </row>
    <row r="216" spans="2:7">
      <c r="B216" s="74"/>
      <c r="F216" s="84"/>
      <c r="G216" s="19"/>
    </row>
    <row r="217" spans="2:7">
      <c r="B217" s="74"/>
      <c r="F217" s="84"/>
      <c r="G217" s="19"/>
    </row>
    <row r="218" spans="2:7">
      <c r="B218" s="74"/>
      <c r="F218" s="84"/>
      <c r="G218" s="19"/>
    </row>
    <row r="219" spans="2:7">
      <c r="B219" s="74"/>
      <c r="F219" s="84"/>
      <c r="G219" s="19"/>
    </row>
    <row r="220" spans="2:7">
      <c r="B220" s="74"/>
      <c r="F220" s="84"/>
      <c r="G220" s="19"/>
    </row>
    <row r="221" spans="2:7">
      <c r="B221" s="74"/>
      <c r="F221" s="84"/>
      <c r="G221" s="19"/>
    </row>
    <row r="222" spans="2:7">
      <c r="B222" s="74"/>
      <c r="F222" s="84"/>
      <c r="G222" s="19"/>
    </row>
    <row r="223" spans="2:7">
      <c r="B223" s="74"/>
      <c r="F223" s="84"/>
      <c r="G223" s="19"/>
    </row>
    <row r="224" spans="2:7">
      <c r="B224" s="74"/>
      <c r="F224" s="84"/>
      <c r="G224" s="19"/>
    </row>
    <row r="225" spans="2:7">
      <c r="B225" s="74"/>
      <c r="F225" s="84"/>
      <c r="G225" s="19"/>
    </row>
    <row r="226" spans="2:7">
      <c r="B226" s="74"/>
      <c r="F226" s="84"/>
      <c r="G226" s="19"/>
    </row>
    <row r="227" spans="2:7">
      <c r="B227" s="74"/>
      <c r="F227" s="84"/>
      <c r="G227" s="19"/>
    </row>
    <row r="228" spans="2:7">
      <c r="B228" s="74"/>
      <c r="F228" s="84"/>
      <c r="G228" s="19"/>
    </row>
    <row r="229" spans="2:7">
      <c r="B229" s="74"/>
      <c r="F229" s="84"/>
      <c r="G229" s="19"/>
    </row>
    <row r="230" spans="2:7">
      <c r="B230" s="74"/>
      <c r="F230" s="84"/>
      <c r="G230" s="19"/>
    </row>
    <row r="231" spans="2:7">
      <c r="B231" s="74"/>
      <c r="F231" s="84"/>
      <c r="G231" s="19"/>
    </row>
    <row r="232" spans="2:7">
      <c r="B232" s="74"/>
      <c r="F232" s="84"/>
      <c r="G232" s="19"/>
    </row>
    <row r="233" spans="2:7">
      <c r="B233" s="74"/>
      <c r="F233" s="84"/>
      <c r="G233" s="19"/>
    </row>
    <row r="234" spans="2:7">
      <c r="B234" s="74"/>
      <c r="F234" s="84"/>
      <c r="G234" s="19"/>
    </row>
    <row r="235" spans="2:7">
      <c r="B235" s="74"/>
      <c r="F235" s="84"/>
      <c r="G235" s="19"/>
    </row>
    <row r="236" spans="2:7">
      <c r="B236" s="74"/>
      <c r="F236" s="84"/>
      <c r="G236" s="19"/>
    </row>
    <row r="237" spans="2:7">
      <c r="B237" s="74"/>
      <c r="F237" s="84"/>
      <c r="G237" s="19"/>
    </row>
    <row r="238" spans="2:7">
      <c r="B238" s="74"/>
      <c r="F238" s="84"/>
      <c r="G238" s="19"/>
    </row>
    <row r="239" spans="2:7">
      <c r="B239" s="74"/>
      <c r="F239" s="84"/>
      <c r="G239" s="19"/>
    </row>
    <row r="240" spans="2:7">
      <c r="B240" s="74"/>
      <c r="F240" s="84"/>
      <c r="G240" s="19"/>
    </row>
    <row r="241" spans="2:7">
      <c r="B241" s="74"/>
      <c r="F241" s="84"/>
      <c r="G241" s="19"/>
    </row>
    <row r="242" spans="2:7">
      <c r="B242" s="74"/>
      <c r="F242" s="84"/>
      <c r="G242" s="19"/>
    </row>
    <row r="243" spans="2:7">
      <c r="B243" s="74"/>
      <c r="F243" s="84"/>
      <c r="G243" s="19"/>
    </row>
    <row r="244" spans="2:7">
      <c r="B244" s="74"/>
      <c r="F244" s="84"/>
      <c r="G244" s="19"/>
    </row>
    <row r="245" spans="2:7">
      <c r="B245" s="74"/>
      <c r="F245" s="84"/>
      <c r="G245" s="19"/>
    </row>
    <row r="246" spans="2:7">
      <c r="B246" s="74"/>
      <c r="F246" s="84"/>
      <c r="G246" s="19"/>
    </row>
    <row r="247" spans="2:7">
      <c r="B247" s="74"/>
      <c r="F247" s="84"/>
      <c r="G247" s="19"/>
    </row>
    <row r="248" spans="2:7">
      <c r="B248" s="74"/>
      <c r="F248" s="84"/>
      <c r="G248" s="19"/>
    </row>
    <row r="249" spans="2:7">
      <c r="B249" s="74"/>
      <c r="F249" s="84"/>
      <c r="G249" s="19"/>
    </row>
    <row r="250" spans="2:7">
      <c r="B250" s="74"/>
      <c r="F250" s="84"/>
      <c r="G250" s="19"/>
    </row>
    <row r="251" spans="2:7">
      <c r="B251" s="74"/>
      <c r="F251" s="84"/>
      <c r="G251" s="19"/>
    </row>
    <row r="252" spans="2:7">
      <c r="B252" s="74"/>
      <c r="F252" s="84"/>
      <c r="G252" s="19"/>
    </row>
    <row r="253" spans="2:7">
      <c r="B253" s="74"/>
      <c r="F253" s="84"/>
      <c r="G253" s="19"/>
    </row>
    <row r="254" spans="2:7">
      <c r="B254" s="74"/>
      <c r="F254" s="84"/>
      <c r="G254" s="19"/>
    </row>
    <row r="255" spans="2:7">
      <c r="B255" s="74"/>
      <c r="F255" s="84"/>
      <c r="G255" s="19"/>
    </row>
    <row r="256" spans="2:7">
      <c r="B256" s="74"/>
      <c r="F256" s="84"/>
      <c r="G256" s="19"/>
    </row>
    <row r="257" spans="2:7">
      <c r="B257" s="74"/>
      <c r="F257" s="84"/>
      <c r="G257" s="19"/>
    </row>
    <row r="258" spans="2:7">
      <c r="B258" s="74"/>
      <c r="F258" s="84"/>
      <c r="G258" s="19"/>
    </row>
    <row r="259" spans="2:7">
      <c r="B259" s="74"/>
      <c r="F259" s="84"/>
      <c r="G259" s="19"/>
    </row>
    <row r="260" spans="2:7">
      <c r="B260" s="74"/>
      <c r="F260" s="84"/>
      <c r="G260" s="19"/>
    </row>
    <row r="261" spans="2:7">
      <c r="B261" s="74"/>
      <c r="F261" s="84"/>
      <c r="G261" s="19"/>
    </row>
    <row r="262" spans="2:7">
      <c r="B262" s="74"/>
      <c r="F262" s="84"/>
      <c r="G262" s="19"/>
    </row>
    <row r="263" spans="2:7">
      <c r="B263" s="74"/>
      <c r="F263" s="84"/>
      <c r="G263" s="19"/>
    </row>
    <row r="264" spans="2:7">
      <c r="B264" s="74"/>
      <c r="F264" s="84"/>
      <c r="G264" s="19"/>
    </row>
    <row r="265" spans="2:7">
      <c r="B265" s="74"/>
      <c r="F265" s="84"/>
      <c r="G265" s="19"/>
    </row>
    <row r="266" spans="2:7">
      <c r="B266" s="74"/>
      <c r="F266" s="84"/>
      <c r="G266" s="19"/>
    </row>
    <row r="267" spans="2:7">
      <c r="B267" s="74"/>
      <c r="F267" s="84"/>
      <c r="G267" s="19"/>
    </row>
    <row r="268" spans="2:7">
      <c r="B268" s="74"/>
      <c r="F268" s="84"/>
      <c r="G268" s="19"/>
    </row>
    <row r="269" spans="2:7">
      <c r="B269" s="74"/>
      <c r="F269" s="84"/>
      <c r="G269" s="19"/>
    </row>
    <row r="270" spans="2:7">
      <c r="B270" s="74"/>
      <c r="F270" s="84"/>
      <c r="G270" s="19"/>
    </row>
    <row r="271" spans="2:7">
      <c r="B271" s="74"/>
      <c r="F271" s="84"/>
      <c r="G271" s="19"/>
    </row>
    <row r="272" spans="2:7">
      <c r="B272" s="74"/>
      <c r="F272" s="84"/>
      <c r="G272" s="19"/>
    </row>
    <row r="273" spans="2:7">
      <c r="B273" s="74"/>
      <c r="F273" s="84"/>
      <c r="G273" s="19"/>
    </row>
    <row r="274" spans="2:7">
      <c r="B274" s="74"/>
      <c r="F274" s="84"/>
      <c r="G274" s="19"/>
    </row>
    <row r="275" spans="2:7">
      <c r="B275" s="74"/>
      <c r="F275" s="84"/>
      <c r="G275" s="19"/>
    </row>
    <row r="276" spans="2:7">
      <c r="B276" s="74"/>
      <c r="F276" s="84"/>
      <c r="G276" s="19"/>
    </row>
    <row r="277" spans="2:7">
      <c r="B277" s="74"/>
      <c r="F277" s="84"/>
      <c r="G277" s="19"/>
    </row>
    <row r="278" spans="2:7">
      <c r="B278" s="74"/>
      <c r="F278" s="84"/>
      <c r="G278" s="19"/>
    </row>
    <row r="279" spans="2:7">
      <c r="B279" s="74"/>
      <c r="F279" s="84"/>
      <c r="G279" s="19"/>
    </row>
    <row r="280" spans="2:7">
      <c r="B280" s="74"/>
      <c r="F280" s="84"/>
      <c r="G280" s="19"/>
    </row>
    <row r="281" spans="2:7">
      <c r="B281" s="74"/>
      <c r="G281" s="19"/>
    </row>
    <row r="282" spans="2:7">
      <c r="B282" s="74"/>
      <c r="G282" s="19"/>
    </row>
    <row r="283" spans="2:7">
      <c r="B283" s="74"/>
      <c r="G283" s="19"/>
    </row>
    <row r="284" spans="2:7">
      <c r="B284" s="74"/>
      <c r="G284" s="19"/>
    </row>
    <row r="285" spans="2:7">
      <c r="B285" s="74"/>
      <c r="G285" s="19"/>
    </row>
    <row r="286" spans="2:7">
      <c r="B286" s="74"/>
      <c r="G286" s="19"/>
    </row>
    <row r="287" spans="2:7">
      <c r="B287" s="74"/>
      <c r="G287" s="19"/>
    </row>
    <row r="288" spans="2:7">
      <c r="B288" s="74"/>
      <c r="G288" s="19"/>
    </row>
    <row r="289" spans="2:7">
      <c r="B289" s="74"/>
      <c r="G289" s="19"/>
    </row>
    <row r="290" spans="2:7">
      <c r="B290" s="74"/>
      <c r="G290" s="19"/>
    </row>
    <row r="291" spans="2:7">
      <c r="B291" s="74"/>
      <c r="G291" s="19"/>
    </row>
    <row r="292" spans="2:7">
      <c r="B292" s="74"/>
      <c r="G292" s="19"/>
    </row>
    <row r="293" spans="2:7">
      <c r="B293" s="74"/>
      <c r="G293" s="19"/>
    </row>
    <row r="294" spans="2:7">
      <c r="B294" s="74"/>
      <c r="G294" s="19"/>
    </row>
    <row r="295" spans="2:7">
      <c r="B295" s="74"/>
      <c r="G295" s="19"/>
    </row>
    <row r="296" spans="2:7">
      <c r="B296" s="74"/>
      <c r="G296" s="19"/>
    </row>
    <row r="297" spans="2:7">
      <c r="B297" s="74"/>
      <c r="G297" s="19"/>
    </row>
    <row r="298" spans="2:7">
      <c r="B298" s="74"/>
      <c r="G298" s="19"/>
    </row>
    <row r="299" spans="2:7">
      <c r="B299" s="74"/>
      <c r="G299" s="19"/>
    </row>
    <row r="300" spans="2:7">
      <c r="B300" s="74"/>
      <c r="G300" s="19"/>
    </row>
    <row r="301" spans="2:7">
      <c r="B301" s="74"/>
      <c r="G301" s="19"/>
    </row>
    <row r="302" spans="2:7">
      <c r="B302" s="74"/>
      <c r="G302" s="19"/>
    </row>
    <row r="303" spans="2:7">
      <c r="B303" s="74"/>
      <c r="G303" s="19"/>
    </row>
    <row r="304" spans="2:7">
      <c r="B304" s="74"/>
      <c r="G304" s="19"/>
    </row>
    <row r="305" spans="2:7">
      <c r="B305" s="74"/>
      <c r="G305" s="19"/>
    </row>
    <row r="306" spans="2:7">
      <c r="B306" s="74"/>
      <c r="G306" s="19"/>
    </row>
    <row r="307" spans="2:7">
      <c r="B307" s="74"/>
      <c r="G307" s="19"/>
    </row>
    <row r="308" spans="2:7">
      <c r="B308" s="74"/>
      <c r="G308" s="19"/>
    </row>
    <row r="309" spans="2:7">
      <c r="B309" s="74"/>
      <c r="G309" s="19"/>
    </row>
    <row r="310" spans="2:7">
      <c r="B310" s="74"/>
      <c r="G310" s="19"/>
    </row>
    <row r="311" spans="2:7">
      <c r="B311" s="74"/>
      <c r="G311" s="19"/>
    </row>
    <row r="312" spans="2:7">
      <c r="B312" s="74"/>
      <c r="G312" s="19"/>
    </row>
    <row r="313" spans="2:7">
      <c r="B313" s="74"/>
      <c r="G313" s="19"/>
    </row>
    <row r="314" spans="2:7">
      <c r="B314" s="74"/>
      <c r="G314" s="19"/>
    </row>
    <row r="315" spans="2:7">
      <c r="B315" s="74"/>
      <c r="G315" s="19"/>
    </row>
    <row r="316" spans="2:7">
      <c r="B316" s="74"/>
      <c r="G316" s="19"/>
    </row>
    <row r="317" spans="2:7">
      <c r="B317" s="74"/>
      <c r="G317" s="19"/>
    </row>
    <row r="318" spans="2:7">
      <c r="B318" s="74"/>
      <c r="G318" s="19"/>
    </row>
    <row r="319" spans="2:7">
      <c r="B319" s="74"/>
      <c r="G319" s="19"/>
    </row>
    <row r="320" spans="2:7">
      <c r="B320" s="74"/>
      <c r="G320" s="19"/>
    </row>
    <row r="321" spans="2:7">
      <c r="B321" s="74"/>
      <c r="G321" s="19"/>
    </row>
    <row r="322" spans="2:7">
      <c r="B322" s="74"/>
      <c r="G322" s="19"/>
    </row>
    <row r="323" spans="2:7">
      <c r="B323" s="74"/>
      <c r="G323" s="19"/>
    </row>
    <row r="324" spans="2:7">
      <c r="B324" s="74"/>
      <c r="G324" s="19"/>
    </row>
    <row r="325" spans="2:7">
      <c r="B325" s="74"/>
      <c r="G325" s="19"/>
    </row>
    <row r="326" spans="2:7">
      <c r="B326" s="74"/>
      <c r="G326" s="19"/>
    </row>
    <row r="327" spans="2:7">
      <c r="B327" s="74"/>
      <c r="G327" s="19"/>
    </row>
    <row r="328" spans="2:7">
      <c r="B328" s="74"/>
      <c r="G328" s="19"/>
    </row>
    <row r="329" spans="2:7">
      <c r="B329" s="74"/>
      <c r="G329" s="19"/>
    </row>
    <row r="330" spans="2:7">
      <c r="B330" s="74"/>
      <c r="G330" s="19"/>
    </row>
    <row r="331" spans="2:7">
      <c r="B331" s="74"/>
      <c r="G331" s="19"/>
    </row>
    <row r="332" spans="2:7">
      <c r="B332" s="74"/>
      <c r="G332" s="19"/>
    </row>
    <row r="333" spans="2:7">
      <c r="B333" s="74"/>
      <c r="G333" s="19"/>
    </row>
    <row r="334" spans="2:7">
      <c r="B334" s="74"/>
      <c r="G334" s="19"/>
    </row>
    <row r="335" spans="2:7">
      <c r="B335" s="74"/>
      <c r="G335" s="19"/>
    </row>
    <row r="336" spans="2:7">
      <c r="B336" s="74"/>
      <c r="G336" s="19"/>
    </row>
    <row r="337" spans="2:7">
      <c r="B337" s="74"/>
      <c r="G337" s="19"/>
    </row>
    <row r="338" spans="2:7">
      <c r="B338" s="74"/>
      <c r="G338" s="19"/>
    </row>
    <row r="339" spans="2:7">
      <c r="B339" s="74"/>
      <c r="G339" s="19"/>
    </row>
    <row r="340" spans="2:7">
      <c r="B340" s="74"/>
      <c r="G340" s="19"/>
    </row>
    <row r="341" spans="2:7">
      <c r="B341" s="74"/>
      <c r="G341" s="19"/>
    </row>
    <row r="342" spans="2:7">
      <c r="B342" s="74"/>
      <c r="G342" s="19"/>
    </row>
    <row r="343" spans="2:7">
      <c r="B343" s="74"/>
      <c r="G343" s="19"/>
    </row>
    <row r="344" spans="2:7">
      <c r="B344" s="74"/>
      <c r="G344" s="19"/>
    </row>
    <row r="345" spans="2:7">
      <c r="B345" s="74"/>
      <c r="G345" s="19"/>
    </row>
    <row r="346" spans="2:7">
      <c r="B346" s="74"/>
      <c r="G346" s="19"/>
    </row>
    <row r="347" spans="2:7">
      <c r="B347" s="74"/>
      <c r="G347" s="19"/>
    </row>
    <row r="348" spans="2:7">
      <c r="B348" s="74"/>
      <c r="G348" s="19"/>
    </row>
    <row r="349" spans="2:7">
      <c r="B349" s="74"/>
      <c r="G349" s="19"/>
    </row>
    <row r="350" spans="2:7">
      <c r="B350" s="74"/>
      <c r="G350" s="19"/>
    </row>
    <row r="351" spans="2:7">
      <c r="B351" s="74"/>
      <c r="G351" s="19"/>
    </row>
    <row r="352" spans="2:7">
      <c r="B352" s="74"/>
      <c r="G352" s="19"/>
    </row>
    <row r="353" spans="2:7">
      <c r="B353" s="74"/>
      <c r="G353" s="19"/>
    </row>
    <row r="354" spans="2:7">
      <c r="B354" s="74"/>
      <c r="G354" s="19"/>
    </row>
    <row r="355" spans="2:7">
      <c r="B355" s="74"/>
      <c r="G355" s="19"/>
    </row>
    <row r="356" spans="2:7">
      <c r="B356" s="74"/>
      <c r="G356" s="19"/>
    </row>
    <row r="357" spans="2:7">
      <c r="B357" s="74"/>
      <c r="G357" s="19"/>
    </row>
    <row r="358" spans="2:7">
      <c r="B358" s="74"/>
      <c r="G358" s="19"/>
    </row>
    <row r="359" spans="2:7">
      <c r="B359" s="74"/>
      <c r="G359" s="19"/>
    </row>
    <row r="360" spans="2:7">
      <c r="B360" s="74"/>
      <c r="G360" s="19"/>
    </row>
    <row r="361" spans="2:7">
      <c r="B361" s="74"/>
      <c r="G361" s="19"/>
    </row>
    <row r="362" spans="2:7">
      <c r="B362" s="74"/>
      <c r="G362" s="19"/>
    </row>
    <row r="363" spans="2:7">
      <c r="B363" s="74"/>
      <c r="G363" s="19"/>
    </row>
    <row r="364" spans="2:7">
      <c r="B364" s="74"/>
      <c r="G364" s="19"/>
    </row>
    <row r="365" spans="2:7">
      <c r="B365" s="74"/>
      <c r="G365" s="19"/>
    </row>
    <row r="366" spans="2:7">
      <c r="B366" s="74"/>
      <c r="G366" s="19"/>
    </row>
    <row r="367" spans="2:7">
      <c r="B367" s="74"/>
      <c r="G367" s="19"/>
    </row>
    <row r="368" spans="2:7">
      <c r="B368" s="74"/>
      <c r="G368" s="19"/>
    </row>
    <row r="369" spans="2:7">
      <c r="B369" s="74"/>
      <c r="G369" s="19"/>
    </row>
    <row r="370" spans="2:7">
      <c r="B370" s="74"/>
      <c r="G370" s="19"/>
    </row>
    <row r="371" spans="2:7">
      <c r="B371" s="74"/>
      <c r="G371" s="19"/>
    </row>
    <row r="372" spans="2:7">
      <c r="B372" s="74"/>
      <c r="G372" s="19"/>
    </row>
    <row r="373" spans="2:7">
      <c r="B373" s="74"/>
      <c r="G373" s="19"/>
    </row>
    <row r="374" spans="2:7">
      <c r="B374" s="74"/>
      <c r="G374" s="19"/>
    </row>
    <row r="375" spans="2:7">
      <c r="B375" s="74"/>
      <c r="G375" s="19"/>
    </row>
    <row r="376" spans="2:7">
      <c r="B376" s="74"/>
      <c r="G376" s="19"/>
    </row>
    <row r="377" spans="2:7">
      <c r="B377" s="74"/>
      <c r="G377" s="19"/>
    </row>
    <row r="378" spans="2:7">
      <c r="B378" s="74"/>
      <c r="G378" s="19"/>
    </row>
    <row r="379" spans="2:7">
      <c r="B379" s="74"/>
      <c r="G379" s="19"/>
    </row>
    <row r="380" spans="2:7">
      <c r="B380" s="74"/>
      <c r="G380" s="19"/>
    </row>
    <row r="381" spans="2:7">
      <c r="B381" s="74"/>
      <c r="G381" s="19"/>
    </row>
    <row r="382" spans="2:7">
      <c r="B382" s="74"/>
      <c r="G382" s="19"/>
    </row>
    <row r="383" spans="2:7">
      <c r="B383" s="74"/>
      <c r="G383" s="19"/>
    </row>
    <row r="384" spans="2:7">
      <c r="B384" s="74"/>
      <c r="G384" s="19"/>
    </row>
    <row r="385" spans="2:7">
      <c r="B385" s="74"/>
      <c r="G385" s="19"/>
    </row>
    <row r="386" spans="2:7">
      <c r="B386" s="74"/>
      <c r="G386" s="19"/>
    </row>
    <row r="387" spans="2:7">
      <c r="B387" s="74"/>
      <c r="G387" s="19"/>
    </row>
    <row r="388" spans="2:7">
      <c r="B388" s="74"/>
      <c r="G388" s="19"/>
    </row>
    <row r="389" spans="2:7">
      <c r="B389" s="74"/>
      <c r="G389" s="19"/>
    </row>
    <row r="390" spans="2:7">
      <c r="B390" s="74"/>
      <c r="G390" s="19"/>
    </row>
    <row r="391" spans="2:7">
      <c r="B391" s="74"/>
      <c r="G391" s="19"/>
    </row>
    <row r="392" spans="2:7">
      <c r="B392" s="74"/>
      <c r="G392" s="19"/>
    </row>
    <row r="393" spans="2:7">
      <c r="B393" s="74"/>
      <c r="G393" s="19"/>
    </row>
    <row r="394" spans="2:7">
      <c r="B394" s="74"/>
      <c r="G394" s="19"/>
    </row>
    <row r="395" spans="2:7">
      <c r="B395" s="74"/>
      <c r="G395" s="19"/>
    </row>
    <row r="396" spans="2:7">
      <c r="B396" s="74"/>
      <c r="G396" s="19"/>
    </row>
    <row r="397" spans="2:7">
      <c r="B397" s="74"/>
      <c r="G397" s="19"/>
    </row>
    <row r="398" spans="2:7">
      <c r="B398" s="74"/>
      <c r="G398" s="19"/>
    </row>
    <row r="399" spans="2:7">
      <c r="B399" s="74"/>
      <c r="G399" s="19"/>
    </row>
    <row r="400" spans="2:7">
      <c r="B400" s="74"/>
      <c r="G400" s="19"/>
    </row>
    <row r="401" spans="2:7">
      <c r="B401" s="74"/>
      <c r="G401" s="19"/>
    </row>
    <row r="402" spans="2:7">
      <c r="B402" s="74"/>
      <c r="G402" s="19"/>
    </row>
    <row r="403" spans="2:7">
      <c r="B403" s="74"/>
      <c r="G403" s="19"/>
    </row>
    <row r="404" spans="2:7">
      <c r="B404" s="74"/>
      <c r="G404" s="19"/>
    </row>
    <row r="405" spans="2:7">
      <c r="B405" s="74"/>
      <c r="G405" s="19"/>
    </row>
    <row r="406" spans="2:7">
      <c r="B406" s="74"/>
      <c r="G406" s="19"/>
    </row>
    <row r="407" spans="2:7">
      <c r="B407" s="74"/>
      <c r="G407" s="19"/>
    </row>
    <row r="408" spans="2:7">
      <c r="B408" s="74"/>
      <c r="G408" s="19"/>
    </row>
    <row r="409" spans="2:7">
      <c r="B409" s="74"/>
      <c r="G409" s="19"/>
    </row>
    <row r="410" spans="2:7">
      <c r="B410" s="74"/>
      <c r="G410" s="19"/>
    </row>
    <row r="411" spans="2:7">
      <c r="B411" s="74"/>
      <c r="G411" s="19"/>
    </row>
    <row r="412" spans="2:7">
      <c r="B412" s="74"/>
      <c r="G412" s="19"/>
    </row>
    <row r="413" spans="2:7">
      <c r="B413" s="74"/>
      <c r="G413" s="19"/>
    </row>
    <row r="414" spans="2:7">
      <c r="B414" s="74"/>
      <c r="G414" s="19"/>
    </row>
    <row r="415" spans="2:7">
      <c r="B415" s="74"/>
      <c r="G415" s="19"/>
    </row>
    <row r="416" spans="2:7">
      <c r="B416" s="74"/>
      <c r="G416" s="19"/>
    </row>
    <row r="417" spans="2:7">
      <c r="B417" s="74"/>
      <c r="G417" s="19"/>
    </row>
    <row r="418" spans="2:7">
      <c r="B418" s="74"/>
      <c r="G418" s="19"/>
    </row>
    <row r="419" spans="2:7">
      <c r="B419" s="74"/>
      <c r="G419" s="19"/>
    </row>
    <row r="420" spans="2:7">
      <c r="B420" s="74"/>
      <c r="G420" s="19"/>
    </row>
    <row r="421" spans="2:7">
      <c r="B421" s="74"/>
      <c r="G421" s="19"/>
    </row>
    <row r="422" spans="2:7">
      <c r="B422" s="74"/>
      <c r="G422" s="19"/>
    </row>
    <row r="423" spans="2:7">
      <c r="B423" s="74"/>
      <c r="G423" s="19"/>
    </row>
    <row r="424" spans="2:7">
      <c r="B424" s="74"/>
      <c r="G424" s="19"/>
    </row>
    <row r="425" spans="2:7">
      <c r="B425" s="74"/>
      <c r="G425" s="19"/>
    </row>
    <row r="426" spans="2:7">
      <c r="B426" s="74"/>
      <c r="G426" s="19"/>
    </row>
    <row r="427" spans="2:7">
      <c r="B427" s="74"/>
      <c r="G427" s="19"/>
    </row>
    <row r="428" spans="2:7">
      <c r="B428" s="74"/>
      <c r="G428" s="19"/>
    </row>
    <row r="429" spans="2:7">
      <c r="B429" s="74"/>
      <c r="G429" s="19"/>
    </row>
    <row r="430" spans="2:7">
      <c r="B430" s="74"/>
      <c r="G430" s="19"/>
    </row>
    <row r="431" spans="2:7">
      <c r="B431" s="74"/>
      <c r="G431" s="19"/>
    </row>
    <row r="432" spans="2:7">
      <c r="B432" s="74"/>
      <c r="G432" s="19"/>
    </row>
    <row r="433" spans="2:7">
      <c r="B433" s="74"/>
      <c r="G433" s="19"/>
    </row>
    <row r="434" spans="2:7">
      <c r="B434" s="74"/>
      <c r="G434" s="19"/>
    </row>
    <row r="435" spans="2:7">
      <c r="B435" s="74"/>
      <c r="G435" s="19"/>
    </row>
    <row r="436" spans="2:7">
      <c r="B436" s="74"/>
      <c r="G436" s="19"/>
    </row>
    <row r="437" spans="2:7">
      <c r="B437" s="74"/>
      <c r="G437" s="19"/>
    </row>
    <row r="438" spans="2:7">
      <c r="B438" s="74"/>
      <c r="G438" s="19"/>
    </row>
    <row r="439" spans="2:7">
      <c r="B439" s="74"/>
      <c r="G439" s="19"/>
    </row>
    <row r="440" spans="2:7">
      <c r="B440" s="74"/>
      <c r="G440" s="19"/>
    </row>
    <row r="441" spans="2:7">
      <c r="B441" s="74"/>
      <c r="G441" s="19"/>
    </row>
    <row r="442" spans="2:7">
      <c r="B442" s="74"/>
      <c r="G442" s="19"/>
    </row>
    <row r="443" spans="2:7">
      <c r="B443" s="74"/>
      <c r="G443" s="19"/>
    </row>
    <row r="444" spans="2:7">
      <c r="B444" s="74"/>
      <c r="G444" s="19"/>
    </row>
    <row r="445" spans="2:7">
      <c r="B445" s="74"/>
      <c r="G445" s="19"/>
    </row>
    <row r="446" spans="2:7">
      <c r="B446" s="74"/>
      <c r="G446" s="19"/>
    </row>
    <row r="447" spans="2:7">
      <c r="B447" s="74"/>
      <c r="G447" s="19"/>
    </row>
    <row r="448" spans="2:7">
      <c r="B448" s="74"/>
      <c r="G448" s="19"/>
    </row>
    <row r="449" spans="2:7">
      <c r="B449" s="74"/>
      <c r="G449" s="19"/>
    </row>
    <row r="450" spans="2:7">
      <c r="B450" s="74"/>
      <c r="G450" s="19"/>
    </row>
    <row r="451" spans="2:7">
      <c r="B451" s="74"/>
      <c r="G451" s="19"/>
    </row>
    <row r="452" spans="2:7">
      <c r="B452" s="74"/>
      <c r="G452" s="19"/>
    </row>
    <row r="453" spans="2:7">
      <c r="B453" s="74"/>
      <c r="G453" s="19"/>
    </row>
    <row r="454" spans="2:7">
      <c r="B454" s="74"/>
      <c r="G454" s="19"/>
    </row>
    <row r="455" spans="2:7">
      <c r="B455" s="74"/>
      <c r="G455" s="19"/>
    </row>
    <row r="456" spans="2:7">
      <c r="B456" s="74"/>
      <c r="G456" s="19"/>
    </row>
    <row r="457" spans="2:7">
      <c r="B457" s="74"/>
      <c r="G457" s="19"/>
    </row>
    <row r="458" spans="2:7">
      <c r="B458" s="74"/>
      <c r="G458" s="19"/>
    </row>
    <row r="459" spans="2:7">
      <c r="B459" s="74"/>
      <c r="G459" s="19"/>
    </row>
    <row r="460" spans="2:7">
      <c r="B460" s="74"/>
      <c r="G460" s="19"/>
    </row>
    <row r="461" spans="2:7">
      <c r="B461" s="74"/>
      <c r="G461" s="19"/>
    </row>
    <row r="462" spans="2:7">
      <c r="B462" s="74"/>
      <c r="G462" s="19"/>
    </row>
    <row r="463" spans="2:7">
      <c r="B463" s="74"/>
      <c r="G463" s="19"/>
    </row>
    <row r="464" spans="2:7">
      <c r="B464" s="74"/>
      <c r="G464" s="19"/>
    </row>
    <row r="465" spans="2:7">
      <c r="B465" s="74"/>
      <c r="G465" s="19"/>
    </row>
    <row r="466" spans="2:7">
      <c r="B466" s="74"/>
      <c r="G466" s="19"/>
    </row>
    <row r="467" spans="2:7">
      <c r="B467" s="74"/>
      <c r="G467" s="19"/>
    </row>
    <row r="468" spans="2:7">
      <c r="B468" s="74"/>
      <c r="G468" s="19"/>
    </row>
    <row r="469" spans="2:7">
      <c r="B469" s="74"/>
      <c r="G469" s="19"/>
    </row>
    <row r="470" spans="2:7">
      <c r="B470" s="74"/>
      <c r="G470" s="19"/>
    </row>
    <row r="471" spans="2:7">
      <c r="B471" s="74"/>
      <c r="G471" s="19"/>
    </row>
    <row r="472" spans="2:7">
      <c r="B472" s="74"/>
      <c r="G472" s="19"/>
    </row>
    <row r="473" spans="2:7">
      <c r="B473" s="74"/>
      <c r="G473" s="19"/>
    </row>
    <row r="474" spans="2:7">
      <c r="B474" s="74"/>
      <c r="G474" s="19"/>
    </row>
    <row r="475" spans="2:7">
      <c r="B475" s="74"/>
      <c r="G475" s="19"/>
    </row>
    <row r="476" spans="2:7">
      <c r="B476" s="74"/>
      <c r="G476" s="19"/>
    </row>
    <row r="477" spans="2:7">
      <c r="B477" s="74"/>
      <c r="G477" s="19"/>
    </row>
    <row r="478" spans="2:7">
      <c r="B478" s="74"/>
      <c r="G478" s="19"/>
    </row>
    <row r="479" spans="2:7">
      <c r="B479" s="74"/>
      <c r="G479" s="19"/>
    </row>
    <row r="480" spans="2:7">
      <c r="B480" s="74"/>
      <c r="G480" s="19"/>
    </row>
    <row r="481" spans="2:7">
      <c r="B481" s="74"/>
      <c r="G481" s="19"/>
    </row>
    <row r="482" spans="2:7">
      <c r="B482" s="74"/>
      <c r="G482" s="19"/>
    </row>
    <row r="483" spans="2:7">
      <c r="B483" s="74"/>
      <c r="G483" s="19"/>
    </row>
    <row r="484" spans="2:7">
      <c r="B484" s="74"/>
      <c r="G484" s="19"/>
    </row>
    <row r="485" spans="2:7">
      <c r="B485" s="74"/>
      <c r="G485" s="19"/>
    </row>
    <row r="486" spans="2:7">
      <c r="B486" s="74"/>
      <c r="G486" s="19"/>
    </row>
    <row r="487" spans="2:7">
      <c r="B487" s="74"/>
      <c r="G487" s="19"/>
    </row>
    <row r="488" spans="2:7">
      <c r="B488" s="74"/>
      <c r="G488" s="19"/>
    </row>
    <row r="489" spans="2:7">
      <c r="B489" s="74"/>
      <c r="G489" s="19"/>
    </row>
    <row r="490" spans="2:7">
      <c r="B490" s="74"/>
      <c r="G490" s="19"/>
    </row>
    <row r="491" spans="2:7">
      <c r="B491" s="74"/>
      <c r="G491" s="19"/>
    </row>
    <row r="492" spans="2:7">
      <c r="B492" s="74"/>
      <c r="G492" s="19"/>
    </row>
    <row r="493" spans="2:7">
      <c r="B493" s="74"/>
      <c r="G493" s="19"/>
    </row>
    <row r="494" spans="2:7">
      <c r="B494" s="74"/>
      <c r="G494" s="19"/>
    </row>
    <row r="495" spans="2:7">
      <c r="B495" s="74"/>
      <c r="G495" s="19"/>
    </row>
    <row r="496" spans="2:7">
      <c r="B496" s="74"/>
      <c r="G496" s="19"/>
    </row>
    <row r="497" spans="2:7">
      <c r="B497" s="74"/>
      <c r="G497" s="19"/>
    </row>
    <row r="498" spans="2:7">
      <c r="B498" s="74"/>
      <c r="G498" s="19"/>
    </row>
    <row r="499" spans="2:7">
      <c r="B499" s="74"/>
      <c r="G499" s="19"/>
    </row>
    <row r="500" spans="2:7">
      <c r="B500" s="74"/>
      <c r="G500" s="19"/>
    </row>
    <row r="501" spans="2:7">
      <c r="B501" s="74"/>
      <c r="G501" s="19"/>
    </row>
    <row r="502" spans="2:7">
      <c r="B502" s="74"/>
      <c r="G502" s="19"/>
    </row>
    <row r="503" spans="2:7">
      <c r="B503" s="74"/>
      <c r="G503" s="19"/>
    </row>
    <row r="504" spans="2:7">
      <c r="B504" s="74"/>
      <c r="G504" s="19"/>
    </row>
    <row r="505" spans="2:7">
      <c r="B505" s="74"/>
      <c r="G505" s="19"/>
    </row>
    <row r="506" spans="2:7">
      <c r="B506" s="74"/>
      <c r="G506" s="19"/>
    </row>
    <row r="507" spans="2:7">
      <c r="B507" s="74"/>
      <c r="G507" s="19"/>
    </row>
    <row r="508" spans="2:7">
      <c r="B508" s="74"/>
      <c r="G508" s="19"/>
    </row>
    <row r="509" spans="2:7">
      <c r="B509" s="74"/>
      <c r="G509" s="19"/>
    </row>
    <row r="510" spans="2:7">
      <c r="B510" s="74"/>
      <c r="G510" s="19"/>
    </row>
    <row r="511" spans="2:7">
      <c r="B511" s="74"/>
      <c r="G511" s="19"/>
    </row>
    <row r="512" spans="2:7">
      <c r="B512" s="74"/>
      <c r="G512" s="19"/>
    </row>
    <row r="513" spans="2:7">
      <c r="B513" s="74"/>
      <c r="G513" s="19"/>
    </row>
    <row r="514" spans="2:7">
      <c r="B514" s="74"/>
      <c r="G514" s="19"/>
    </row>
    <row r="515" spans="2:7">
      <c r="B515" s="74"/>
      <c r="G515" s="19"/>
    </row>
    <row r="516" spans="2:7">
      <c r="B516" s="74"/>
      <c r="G516" s="19"/>
    </row>
    <row r="517" spans="2:7">
      <c r="B517" s="74"/>
      <c r="G517" s="19"/>
    </row>
    <row r="518" spans="2:7">
      <c r="B518" s="74"/>
      <c r="G518" s="19"/>
    </row>
    <row r="519" spans="2:7">
      <c r="B519" s="74"/>
      <c r="G519" s="19"/>
    </row>
    <row r="520" spans="2:7">
      <c r="B520" s="74"/>
      <c r="G520" s="19"/>
    </row>
    <row r="521" spans="2:7">
      <c r="B521" s="74"/>
      <c r="G521" s="19"/>
    </row>
    <row r="522" spans="2:7">
      <c r="B522" s="74"/>
      <c r="G522" s="19"/>
    </row>
    <row r="523" spans="2:7">
      <c r="B523" s="74"/>
      <c r="G523" s="19"/>
    </row>
    <row r="524" spans="2:7">
      <c r="B524" s="74"/>
      <c r="G524" s="19"/>
    </row>
    <row r="525" spans="2:7">
      <c r="B525" s="74"/>
      <c r="G525" s="19"/>
    </row>
    <row r="526" spans="2:7">
      <c r="B526" s="74"/>
      <c r="G526" s="19"/>
    </row>
    <row r="527" spans="2:7">
      <c r="B527" s="74"/>
      <c r="G527" s="19"/>
    </row>
    <row r="528" spans="2:7">
      <c r="B528" s="74"/>
      <c r="G528" s="19"/>
    </row>
    <row r="529" spans="2:7">
      <c r="B529" s="74"/>
      <c r="G529" s="19"/>
    </row>
    <row r="530" spans="2:7">
      <c r="B530" s="74"/>
      <c r="G530" s="19"/>
    </row>
    <row r="531" spans="2:7">
      <c r="B531" s="74"/>
      <c r="G531" s="19"/>
    </row>
    <row r="532" spans="2:7">
      <c r="B532" s="74"/>
      <c r="G532" s="19"/>
    </row>
    <row r="533" spans="2:7">
      <c r="B533" s="74"/>
      <c r="G533" s="19"/>
    </row>
    <row r="534" spans="2:7">
      <c r="B534" s="74"/>
      <c r="G534" s="19"/>
    </row>
    <row r="535" spans="2:7">
      <c r="B535" s="74"/>
      <c r="G535" s="19"/>
    </row>
    <row r="536" spans="2:7">
      <c r="B536" s="74"/>
      <c r="G536" s="19"/>
    </row>
    <row r="537" spans="2:7">
      <c r="B537" s="74"/>
      <c r="G537" s="19"/>
    </row>
    <row r="538" spans="2:7">
      <c r="B538" s="74"/>
      <c r="G538" s="19"/>
    </row>
    <row r="539" spans="2:7">
      <c r="B539" s="74"/>
      <c r="G539" s="19"/>
    </row>
    <row r="540" spans="2:7">
      <c r="B540" s="74"/>
      <c r="G540" s="19"/>
    </row>
    <row r="541" spans="2:7">
      <c r="B541" s="74"/>
      <c r="G541" s="19"/>
    </row>
    <row r="542" spans="2:7">
      <c r="B542" s="74"/>
      <c r="G542" s="19"/>
    </row>
    <row r="543" spans="2:7">
      <c r="B543" s="74"/>
      <c r="G543" s="19"/>
    </row>
    <row r="544" spans="2:7">
      <c r="B544" s="74"/>
      <c r="G544" s="19"/>
    </row>
    <row r="545" spans="2:7">
      <c r="B545" s="74"/>
      <c r="G545" s="19"/>
    </row>
    <row r="546" spans="2:7">
      <c r="B546" s="74"/>
      <c r="G546" s="19"/>
    </row>
    <row r="547" spans="2:7">
      <c r="B547" s="74"/>
      <c r="G547" s="19"/>
    </row>
    <row r="548" spans="2:7">
      <c r="B548" s="74"/>
      <c r="G548" s="19"/>
    </row>
    <row r="549" spans="2:7">
      <c r="B549" s="74"/>
      <c r="G549" s="19"/>
    </row>
    <row r="550" spans="2:7">
      <c r="B550" s="74"/>
      <c r="G550" s="19"/>
    </row>
    <row r="551" spans="2:7">
      <c r="B551" s="74"/>
      <c r="G551" s="19"/>
    </row>
    <row r="552" spans="2:7">
      <c r="B552" s="74"/>
      <c r="G552" s="19"/>
    </row>
    <row r="553" spans="2:7">
      <c r="B553" s="74"/>
      <c r="G553" s="19"/>
    </row>
    <row r="554" spans="2:7">
      <c r="B554" s="74"/>
      <c r="G554" s="19"/>
    </row>
    <row r="555" spans="2:7">
      <c r="B555" s="74"/>
      <c r="G555" s="19"/>
    </row>
    <row r="556" spans="2:7">
      <c r="B556" s="74"/>
      <c r="G556" s="19"/>
    </row>
    <row r="557" spans="2:7">
      <c r="B557" s="74"/>
    </row>
    <row r="558" spans="2:7">
      <c r="B558" s="74"/>
    </row>
    <row r="559" spans="2:7">
      <c r="B559" s="74"/>
    </row>
    <row r="560" spans="2:7">
      <c r="B560" s="74"/>
    </row>
    <row r="561" spans="2:2">
      <c r="B561" s="74"/>
    </row>
    <row r="562" spans="2:2">
      <c r="B562" s="74"/>
    </row>
    <row r="563" spans="2:2">
      <c r="B563" s="74"/>
    </row>
    <row r="564" spans="2:2">
      <c r="B564" s="74"/>
    </row>
    <row r="565" spans="2:2">
      <c r="B565" s="74"/>
    </row>
    <row r="566" spans="2:2">
      <c r="B566" s="74"/>
    </row>
    <row r="567" spans="2:2">
      <c r="B567" s="74"/>
    </row>
    <row r="568" spans="2:2">
      <c r="B568" s="74"/>
    </row>
    <row r="569" spans="2:2">
      <c r="B569" s="74"/>
    </row>
    <row r="570" spans="2:2">
      <c r="B570" s="74"/>
    </row>
    <row r="571" spans="2:2">
      <c r="B571" s="74"/>
    </row>
    <row r="572" spans="2:2">
      <c r="B572" s="74"/>
    </row>
    <row r="573" spans="2:2">
      <c r="B573" s="74"/>
    </row>
    <row r="574" spans="2:2">
      <c r="B574" s="74"/>
    </row>
    <row r="575" spans="2:2">
      <c r="B575" s="74"/>
    </row>
    <row r="576" spans="2:2">
      <c r="B576" s="74"/>
    </row>
    <row r="577" spans="2:2">
      <c r="B577" s="74"/>
    </row>
    <row r="578" spans="2:2">
      <c r="B578" s="74"/>
    </row>
    <row r="579" spans="2:2">
      <c r="B579" s="74"/>
    </row>
    <row r="580" spans="2:2">
      <c r="B580" s="74"/>
    </row>
    <row r="581" spans="2:2">
      <c r="B581" s="74"/>
    </row>
    <row r="582" spans="2:2">
      <c r="B582" s="74"/>
    </row>
    <row r="583" spans="2:2">
      <c r="B583" s="74"/>
    </row>
    <row r="584" spans="2:2">
      <c r="B584" s="74"/>
    </row>
    <row r="585" spans="2:2">
      <c r="B585" s="74"/>
    </row>
    <row r="586" spans="2:2">
      <c r="B586" s="74"/>
    </row>
    <row r="587" spans="2:2">
      <c r="B587" s="74"/>
    </row>
    <row r="588" spans="2:2">
      <c r="B588" s="74"/>
    </row>
    <row r="589" spans="2:2">
      <c r="B589" s="74"/>
    </row>
    <row r="590" spans="2:2">
      <c r="B590" s="74"/>
    </row>
    <row r="591" spans="2:2">
      <c r="B591" s="74"/>
    </row>
    <row r="592" spans="2:2">
      <c r="B592" s="74"/>
    </row>
    <row r="593" spans="2:2">
      <c r="B593" s="74"/>
    </row>
    <row r="594" spans="2:2">
      <c r="B594" s="74"/>
    </row>
    <row r="595" spans="2:2">
      <c r="B595" s="74"/>
    </row>
    <row r="596" spans="2:2">
      <c r="B596" s="74"/>
    </row>
    <row r="597" spans="2:2">
      <c r="B597" s="74"/>
    </row>
    <row r="598" spans="2:2">
      <c r="B598" s="74"/>
    </row>
    <row r="599" spans="2:2">
      <c r="B599" s="74"/>
    </row>
    <row r="600" spans="2:2">
      <c r="B600" s="74"/>
    </row>
    <row r="601" spans="2:2">
      <c r="B601" s="74"/>
    </row>
    <row r="602" spans="2:2">
      <c r="B602" s="74"/>
    </row>
    <row r="603" spans="2:2">
      <c r="B603" s="74"/>
    </row>
    <row r="604" spans="2:2">
      <c r="B604" s="74"/>
    </row>
    <row r="605" spans="2:2">
      <c r="B605" s="74"/>
    </row>
    <row r="606" spans="2:2">
      <c r="B606" s="74"/>
    </row>
    <row r="607" spans="2:2">
      <c r="B607" s="74"/>
    </row>
    <row r="608" spans="2:2">
      <c r="B608" s="74"/>
    </row>
    <row r="609" spans="2:2">
      <c r="B609" s="74"/>
    </row>
    <row r="610" spans="2:2">
      <c r="B610" s="74"/>
    </row>
    <row r="611" spans="2:2">
      <c r="B611" s="74"/>
    </row>
    <row r="612" spans="2:2">
      <c r="B612" s="74"/>
    </row>
    <row r="613" spans="2:2">
      <c r="B613" s="74"/>
    </row>
    <row r="614" spans="2:2">
      <c r="B614" s="74"/>
    </row>
    <row r="615" spans="2:2">
      <c r="B615" s="74"/>
    </row>
    <row r="616" spans="2:2">
      <c r="B616" s="74"/>
    </row>
    <row r="617" spans="2:2">
      <c r="B617" s="74"/>
    </row>
    <row r="618" spans="2:2">
      <c r="B618" s="74"/>
    </row>
    <row r="619" spans="2:2">
      <c r="B619" s="74"/>
    </row>
    <row r="620" spans="2:2">
      <c r="B620" s="74"/>
    </row>
    <row r="621" spans="2:2">
      <c r="B621" s="74"/>
    </row>
    <row r="622" spans="2:2">
      <c r="B622" s="74"/>
    </row>
    <row r="623" spans="2:2">
      <c r="B623" s="74"/>
    </row>
    <row r="624" spans="2:2">
      <c r="B624" s="74"/>
    </row>
    <row r="625" spans="2:2">
      <c r="B625" s="74"/>
    </row>
    <row r="626" spans="2:2">
      <c r="B626" s="74"/>
    </row>
    <row r="627" spans="2:2">
      <c r="B627" s="74"/>
    </row>
    <row r="628" spans="2:2">
      <c r="B628" s="74"/>
    </row>
    <row r="629" spans="2:2">
      <c r="B629" s="74"/>
    </row>
    <row r="630" spans="2:2">
      <c r="B630" s="74"/>
    </row>
    <row r="631" spans="2:2">
      <c r="B631" s="74"/>
    </row>
    <row r="632" spans="2:2">
      <c r="B632" s="74"/>
    </row>
    <row r="633" spans="2:2">
      <c r="B633" s="74"/>
    </row>
    <row r="634" spans="2:2">
      <c r="B634" s="74"/>
    </row>
    <row r="635" spans="2:2">
      <c r="B635" s="74"/>
    </row>
    <row r="636" spans="2:2">
      <c r="B636" s="74"/>
    </row>
    <row r="637" spans="2:2">
      <c r="B637" s="74"/>
    </row>
    <row r="638" spans="2:2">
      <c r="B638" s="74"/>
    </row>
    <row r="639" spans="2:2">
      <c r="B639" s="74"/>
    </row>
    <row r="640" spans="2:2">
      <c r="B640" s="74"/>
    </row>
    <row r="641" spans="2:2">
      <c r="B641" s="74"/>
    </row>
    <row r="642" spans="2:2">
      <c r="B642" s="74"/>
    </row>
    <row r="643" spans="2:2">
      <c r="B643" s="74"/>
    </row>
    <row r="644" spans="2:2">
      <c r="B644" s="74"/>
    </row>
    <row r="645" spans="2:2">
      <c r="B645" s="74"/>
    </row>
    <row r="646" spans="2:2">
      <c r="B646" s="74"/>
    </row>
    <row r="647" spans="2:2">
      <c r="B647" s="74"/>
    </row>
    <row r="648" spans="2:2">
      <c r="B648" s="74"/>
    </row>
    <row r="649" spans="2:2">
      <c r="B649" s="74"/>
    </row>
    <row r="650" spans="2:2">
      <c r="B650" s="74"/>
    </row>
    <row r="651" spans="2:2">
      <c r="B651" s="74"/>
    </row>
    <row r="652" spans="2:2">
      <c r="B652" s="74"/>
    </row>
    <row r="653" spans="2:2">
      <c r="B653" s="74"/>
    </row>
    <row r="654" spans="2:2">
      <c r="B654" s="74"/>
    </row>
    <row r="655" spans="2:2">
      <c r="B655" s="74"/>
    </row>
    <row r="656" spans="2:2">
      <c r="B656" s="74"/>
    </row>
    <row r="657" spans="2:2">
      <c r="B657" s="74"/>
    </row>
    <row r="658" spans="2:2">
      <c r="B658" s="74"/>
    </row>
    <row r="659" spans="2:2">
      <c r="B659" s="74"/>
    </row>
    <row r="660" spans="2:2">
      <c r="B660" s="74"/>
    </row>
    <row r="661" spans="2:2">
      <c r="B661" s="74"/>
    </row>
    <row r="662" spans="2:2">
      <c r="B662" s="74"/>
    </row>
    <row r="663" spans="2:2">
      <c r="B663" s="74"/>
    </row>
    <row r="664" spans="2:2">
      <c r="B664" s="74"/>
    </row>
    <row r="665" spans="2:2">
      <c r="B665" s="74"/>
    </row>
    <row r="666" spans="2:2">
      <c r="B666" s="74"/>
    </row>
    <row r="667" spans="2:2">
      <c r="B667" s="74"/>
    </row>
    <row r="668" spans="2:2">
      <c r="B668" s="74"/>
    </row>
    <row r="669" spans="2:2">
      <c r="B669" s="74"/>
    </row>
    <row r="670" spans="2:2">
      <c r="B670" s="74"/>
    </row>
    <row r="671" spans="2:2">
      <c r="B671" s="74"/>
    </row>
    <row r="672" spans="2:2">
      <c r="B672" s="74"/>
    </row>
    <row r="673" spans="2:2">
      <c r="B673" s="74"/>
    </row>
    <row r="674" spans="2:2">
      <c r="B674" s="74"/>
    </row>
    <row r="675" spans="2:2">
      <c r="B675" s="74"/>
    </row>
    <row r="676" spans="2:2">
      <c r="B676" s="74"/>
    </row>
    <row r="677" spans="2:2">
      <c r="B677" s="74"/>
    </row>
    <row r="678" spans="2:2">
      <c r="B678" s="74"/>
    </row>
    <row r="679" spans="2:2">
      <c r="B679" s="74"/>
    </row>
    <row r="680" spans="2:2">
      <c r="B680" s="74"/>
    </row>
    <row r="681" spans="2:2">
      <c r="B681" s="74"/>
    </row>
    <row r="682" spans="2:2">
      <c r="B682" s="74"/>
    </row>
    <row r="683" spans="2:2">
      <c r="B683" s="74"/>
    </row>
    <row r="684" spans="2:2">
      <c r="B684" s="74"/>
    </row>
    <row r="685" spans="2:2">
      <c r="B685" s="74"/>
    </row>
    <row r="686" spans="2:2">
      <c r="B686" s="74"/>
    </row>
    <row r="687" spans="2:2">
      <c r="B687" s="74"/>
    </row>
    <row r="688" spans="2:2">
      <c r="B688" s="74"/>
    </row>
    <row r="689" spans="2:2">
      <c r="B689" s="74"/>
    </row>
    <row r="690" spans="2:2">
      <c r="B690" s="74"/>
    </row>
    <row r="691" spans="2:2">
      <c r="B691" s="74"/>
    </row>
    <row r="692" spans="2:2">
      <c r="B692" s="74"/>
    </row>
    <row r="693" spans="2:2">
      <c r="B693" s="74"/>
    </row>
    <row r="694" spans="2:2">
      <c r="B694" s="74"/>
    </row>
    <row r="695" spans="2:2">
      <c r="B695" s="74"/>
    </row>
    <row r="696" spans="2:2">
      <c r="B696" s="74"/>
    </row>
    <row r="697" spans="2:2">
      <c r="B697" s="74"/>
    </row>
    <row r="698" spans="2:2">
      <c r="B698" s="74"/>
    </row>
    <row r="699" spans="2:2">
      <c r="B699" s="74"/>
    </row>
    <row r="700" spans="2:2">
      <c r="B700" s="74"/>
    </row>
    <row r="701" spans="2:2">
      <c r="B701" s="74"/>
    </row>
    <row r="702" spans="2:2">
      <c r="B702" s="74"/>
    </row>
    <row r="703" spans="2:2">
      <c r="B703" s="74"/>
    </row>
    <row r="704" spans="2:2">
      <c r="B704" s="74"/>
    </row>
    <row r="705" spans="2:2">
      <c r="B705" s="74"/>
    </row>
    <row r="706" spans="2:2">
      <c r="B706" s="74"/>
    </row>
    <row r="707" spans="2:2">
      <c r="B707" s="74"/>
    </row>
    <row r="708" spans="2:2">
      <c r="B708" s="74"/>
    </row>
    <row r="709" spans="2:2">
      <c r="B709" s="74"/>
    </row>
    <row r="710" spans="2:2">
      <c r="B710" s="74"/>
    </row>
    <row r="711" spans="2:2">
      <c r="B711" s="74"/>
    </row>
    <row r="712" spans="2:2">
      <c r="B712" s="74"/>
    </row>
    <row r="713" spans="2:2">
      <c r="B713" s="74"/>
    </row>
    <row r="714" spans="2:2">
      <c r="B714" s="74"/>
    </row>
    <row r="715" spans="2:2">
      <c r="B715" s="74"/>
    </row>
    <row r="716" spans="2:2">
      <c r="B716" s="74"/>
    </row>
    <row r="717" spans="2:2">
      <c r="B717" s="74"/>
    </row>
    <row r="718" spans="2:2">
      <c r="B718" s="74"/>
    </row>
    <row r="719" spans="2:2">
      <c r="B719" s="74"/>
    </row>
    <row r="720" spans="2:2">
      <c r="B720" s="74"/>
    </row>
    <row r="721" spans="2:2">
      <c r="B721" s="74"/>
    </row>
    <row r="722" spans="2:2">
      <c r="B722" s="74"/>
    </row>
    <row r="723" spans="2:2">
      <c r="B723" s="74"/>
    </row>
    <row r="724" spans="2:2">
      <c r="B724" s="74"/>
    </row>
    <row r="725" spans="2:2">
      <c r="B725" s="74"/>
    </row>
    <row r="726" spans="2:2">
      <c r="B726" s="74"/>
    </row>
    <row r="727" spans="2:2">
      <c r="B727" s="74"/>
    </row>
    <row r="728" spans="2:2">
      <c r="B728" s="74"/>
    </row>
    <row r="729" spans="2:2">
      <c r="B729" s="74"/>
    </row>
    <row r="730" spans="2:2">
      <c r="B730" s="74"/>
    </row>
    <row r="731" spans="2:2">
      <c r="B731" s="74"/>
    </row>
    <row r="732" spans="2:2">
      <c r="B732" s="74"/>
    </row>
    <row r="733" spans="2:2">
      <c r="B733" s="74"/>
    </row>
    <row r="734" spans="2:2">
      <c r="B734" s="74"/>
    </row>
    <row r="735" spans="2:2">
      <c r="B735" s="74"/>
    </row>
    <row r="736" spans="2:2">
      <c r="B736" s="74"/>
    </row>
    <row r="737" spans="2:2">
      <c r="B737" s="74"/>
    </row>
    <row r="738" spans="2:2">
      <c r="B738" s="74"/>
    </row>
    <row r="739" spans="2:2">
      <c r="B739" s="74"/>
    </row>
    <row r="740" spans="2:2">
      <c r="B740" s="74"/>
    </row>
    <row r="741" spans="2:2">
      <c r="B741" s="74"/>
    </row>
    <row r="742" spans="2:2">
      <c r="B742" s="74"/>
    </row>
    <row r="743" spans="2:2">
      <c r="B743" s="74"/>
    </row>
    <row r="744" spans="2:2">
      <c r="B744" s="74"/>
    </row>
    <row r="745" spans="2:2">
      <c r="B745" s="74"/>
    </row>
    <row r="746" spans="2:2">
      <c r="B746" s="74"/>
    </row>
    <row r="747" spans="2:2">
      <c r="B747" s="74"/>
    </row>
    <row r="748" spans="2:2">
      <c r="B748" s="74"/>
    </row>
    <row r="749" spans="2:2">
      <c r="B749" s="74"/>
    </row>
    <row r="750" spans="2:2">
      <c r="B750" s="74"/>
    </row>
    <row r="751" spans="2:2">
      <c r="B751" s="74"/>
    </row>
    <row r="752" spans="2:2">
      <c r="B752" s="74"/>
    </row>
    <row r="753" spans="2:2">
      <c r="B753" s="74"/>
    </row>
    <row r="754" spans="2:2">
      <c r="B754" s="74"/>
    </row>
    <row r="755" spans="2:2">
      <c r="B755" s="74"/>
    </row>
    <row r="756" spans="2:2">
      <c r="B756" s="74"/>
    </row>
    <row r="757" spans="2:2">
      <c r="B757" s="74"/>
    </row>
    <row r="758" spans="2:2">
      <c r="B758" s="74"/>
    </row>
    <row r="759" spans="2:2">
      <c r="B759" s="74"/>
    </row>
    <row r="760" spans="2:2">
      <c r="B760" s="74"/>
    </row>
    <row r="761" spans="2:2">
      <c r="B761" s="74"/>
    </row>
    <row r="762" spans="2:2">
      <c r="B762" s="74"/>
    </row>
    <row r="763" spans="2:2">
      <c r="B763" s="74"/>
    </row>
    <row r="764" spans="2:2">
      <c r="B764" s="74"/>
    </row>
    <row r="765" spans="2:2">
      <c r="B765" s="74"/>
    </row>
    <row r="766" spans="2:2">
      <c r="B766" s="74"/>
    </row>
    <row r="767" spans="2:2">
      <c r="B767" s="74"/>
    </row>
    <row r="768" spans="2:2">
      <c r="B768" s="74"/>
    </row>
    <row r="769" spans="2:2">
      <c r="B769" s="74"/>
    </row>
    <row r="770" spans="2:2">
      <c r="B770" s="74"/>
    </row>
    <row r="771" spans="2:2">
      <c r="B771" s="74"/>
    </row>
    <row r="772" spans="2:2">
      <c r="B772" s="74"/>
    </row>
    <row r="773" spans="2:2">
      <c r="B773" s="74"/>
    </row>
    <row r="774" spans="2:2">
      <c r="B774" s="74"/>
    </row>
    <row r="775" spans="2:2">
      <c r="B775" s="74"/>
    </row>
    <row r="776" spans="2:2">
      <c r="B776" s="74"/>
    </row>
    <row r="777" spans="2:2">
      <c r="B777" s="74"/>
    </row>
    <row r="778" spans="2:2">
      <c r="B778" s="74"/>
    </row>
    <row r="779" spans="2:2">
      <c r="B779" s="74"/>
    </row>
    <row r="780" spans="2:2">
      <c r="B780" s="74"/>
    </row>
    <row r="781" spans="2:2">
      <c r="B781" s="74"/>
    </row>
    <row r="782" spans="2:2">
      <c r="B782" s="74"/>
    </row>
    <row r="783" spans="2:2">
      <c r="B783" s="74"/>
    </row>
    <row r="784" spans="2:2">
      <c r="B784" s="74"/>
    </row>
    <row r="785" spans="2:2">
      <c r="B785" s="74"/>
    </row>
    <row r="786" spans="2:2">
      <c r="B786" s="74"/>
    </row>
    <row r="787" spans="2:2">
      <c r="B787" s="74"/>
    </row>
    <row r="788" spans="2:2">
      <c r="B788" s="74"/>
    </row>
    <row r="789" spans="2:2">
      <c r="B789" s="74"/>
    </row>
    <row r="790" spans="2:2">
      <c r="B790" s="74"/>
    </row>
    <row r="791" spans="2:2">
      <c r="B791" s="74"/>
    </row>
    <row r="792" spans="2:2">
      <c r="B792" s="74"/>
    </row>
    <row r="793" spans="2:2">
      <c r="B793" s="74"/>
    </row>
    <row r="794" spans="2:2">
      <c r="B794" s="74"/>
    </row>
    <row r="795" spans="2:2">
      <c r="B795" s="74"/>
    </row>
    <row r="796" spans="2:2">
      <c r="B796" s="74"/>
    </row>
    <row r="797" spans="2:2">
      <c r="B797" s="74"/>
    </row>
    <row r="798" spans="2:2">
      <c r="B798" s="74"/>
    </row>
    <row r="799" spans="2:2">
      <c r="B799" s="74"/>
    </row>
    <row r="800" spans="2:2">
      <c r="B800" s="74"/>
    </row>
    <row r="801" spans="2:2">
      <c r="B801" s="74"/>
    </row>
    <row r="802" spans="2:2">
      <c r="B802" s="74"/>
    </row>
    <row r="803" spans="2:2">
      <c r="B803" s="74"/>
    </row>
    <row r="804" spans="2:2">
      <c r="B804" s="74"/>
    </row>
    <row r="805" spans="2:2">
      <c r="B805" s="74"/>
    </row>
    <row r="806" spans="2:2">
      <c r="B806" s="74"/>
    </row>
    <row r="807" spans="2:2">
      <c r="B807" s="74"/>
    </row>
    <row r="808" spans="2:2">
      <c r="B808" s="74"/>
    </row>
    <row r="809" spans="2:2">
      <c r="B809" s="74"/>
    </row>
    <row r="810" spans="2:2">
      <c r="B810" s="74"/>
    </row>
    <row r="811" spans="2:2">
      <c r="B811" s="74"/>
    </row>
    <row r="812" spans="2:2">
      <c r="B812" s="74"/>
    </row>
    <row r="813" spans="2:2">
      <c r="B813" s="74"/>
    </row>
    <row r="814" spans="2:2">
      <c r="B814" s="74"/>
    </row>
    <row r="815" spans="2:2">
      <c r="B815" s="74"/>
    </row>
    <row r="816" spans="2:2">
      <c r="B816" s="74"/>
    </row>
    <row r="817" spans="2:2">
      <c r="B817" s="74"/>
    </row>
    <row r="818" spans="2:2">
      <c r="B818" s="74"/>
    </row>
    <row r="819" spans="2:2">
      <c r="B819" s="74"/>
    </row>
    <row r="820" spans="2:2">
      <c r="B820" s="74"/>
    </row>
    <row r="821" spans="2:2">
      <c r="B821" s="74"/>
    </row>
    <row r="822" spans="2:2">
      <c r="B822" s="74"/>
    </row>
    <row r="823" spans="2:2">
      <c r="B823" s="74"/>
    </row>
    <row r="824" spans="2:2">
      <c r="B824" s="74"/>
    </row>
    <row r="825" spans="2:2">
      <c r="B825" s="74"/>
    </row>
    <row r="826" spans="2:2">
      <c r="B826" s="74"/>
    </row>
    <row r="827" spans="2:2">
      <c r="B827" s="74"/>
    </row>
    <row r="828" spans="2:2">
      <c r="B828" s="74"/>
    </row>
    <row r="829" spans="2:2">
      <c r="B829" s="74"/>
    </row>
    <row r="830" spans="2:2">
      <c r="B830" s="74"/>
    </row>
    <row r="831" spans="2:2">
      <c r="B831" s="74"/>
    </row>
    <row r="832" spans="2:2">
      <c r="B832" s="74"/>
    </row>
    <row r="833" spans="2:2">
      <c r="B833" s="74"/>
    </row>
    <row r="834" spans="2:2">
      <c r="B834" s="74"/>
    </row>
    <row r="835" spans="2:2">
      <c r="B835" s="74"/>
    </row>
    <row r="836" spans="2:2">
      <c r="B836" s="74"/>
    </row>
    <row r="837" spans="2:2">
      <c r="B837" s="74"/>
    </row>
    <row r="838" spans="2:2">
      <c r="B838" s="74"/>
    </row>
    <row r="839" spans="2:2">
      <c r="B839" s="74"/>
    </row>
    <row r="840" spans="2:2">
      <c r="B840" s="74"/>
    </row>
    <row r="841" spans="2:2">
      <c r="B841" s="74"/>
    </row>
    <row r="842" spans="2:2">
      <c r="B842" s="74"/>
    </row>
    <row r="843" spans="2:2">
      <c r="B843" s="74"/>
    </row>
    <row r="844" spans="2:2">
      <c r="B844" s="74"/>
    </row>
    <row r="845" spans="2:2">
      <c r="B845" s="74"/>
    </row>
    <row r="846" spans="2:2">
      <c r="B846" s="74"/>
    </row>
    <row r="847" spans="2:2">
      <c r="B847" s="74"/>
    </row>
    <row r="848" spans="2:2">
      <c r="B848" s="74"/>
    </row>
    <row r="849" spans="2:2">
      <c r="B849" s="74"/>
    </row>
    <row r="850" spans="2:2">
      <c r="B850" s="74"/>
    </row>
    <row r="851" spans="2:2">
      <c r="B851" s="74"/>
    </row>
    <row r="852" spans="2:2">
      <c r="B852" s="74"/>
    </row>
    <row r="853" spans="2:2">
      <c r="B853" s="74"/>
    </row>
    <row r="854" spans="2:2">
      <c r="B854" s="74"/>
    </row>
    <row r="855" spans="2:2">
      <c r="B855" s="74"/>
    </row>
    <row r="856" spans="2:2">
      <c r="B856" s="74"/>
    </row>
    <row r="857" spans="2:2">
      <c r="B857" s="74"/>
    </row>
    <row r="858" spans="2:2">
      <c r="B858" s="74"/>
    </row>
    <row r="859" spans="2:2">
      <c r="B859" s="74"/>
    </row>
    <row r="860" spans="2:2">
      <c r="B860" s="74"/>
    </row>
    <row r="861" spans="2:2">
      <c r="B861" s="74"/>
    </row>
    <row r="862" spans="2:2">
      <c r="B862" s="74"/>
    </row>
    <row r="863" spans="2:2">
      <c r="B863" s="74"/>
    </row>
    <row r="864" spans="2:2">
      <c r="B864" s="74"/>
    </row>
    <row r="865" spans="2:2">
      <c r="B865" s="74"/>
    </row>
    <row r="866" spans="2:2">
      <c r="B866" s="74"/>
    </row>
    <row r="867" spans="2:2">
      <c r="B867" s="74"/>
    </row>
    <row r="868" spans="2:2">
      <c r="B868" s="74"/>
    </row>
    <row r="869" spans="2:2">
      <c r="B869" s="74"/>
    </row>
    <row r="870" spans="2:2">
      <c r="B870" s="74"/>
    </row>
    <row r="871" spans="2:2">
      <c r="B871" s="74"/>
    </row>
    <row r="872" spans="2:2">
      <c r="B872" s="74"/>
    </row>
    <row r="873" spans="2:2">
      <c r="B873" s="74"/>
    </row>
    <row r="874" spans="2:2">
      <c r="B874" s="74"/>
    </row>
    <row r="875" spans="2:2">
      <c r="B875" s="74"/>
    </row>
    <row r="876" spans="2:2">
      <c r="B876" s="74"/>
    </row>
    <row r="877" spans="2:2">
      <c r="B877" s="74"/>
    </row>
    <row r="878" spans="2:2">
      <c r="B878" s="74"/>
    </row>
    <row r="879" spans="2:2">
      <c r="B879" s="74"/>
    </row>
    <row r="880" spans="2:2">
      <c r="B880" s="74"/>
    </row>
    <row r="881" spans="2:2">
      <c r="B881" s="74"/>
    </row>
    <row r="882" spans="2:2">
      <c r="B882" s="74"/>
    </row>
    <row r="883" spans="2:2">
      <c r="B883" s="74"/>
    </row>
    <row r="884" spans="2:2">
      <c r="B884" s="74"/>
    </row>
    <row r="885" spans="2:2">
      <c r="B885" s="74"/>
    </row>
    <row r="886" spans="2:2">
      <c r="B886" s="74"/>
    </row>
    <row r="887" spans="2:2">
      <c r="B887" s="74"/>
    </row>
    <row r="888" spans="2:2">
      <c r="B888" s="74"/>
    </row>
    <row r="889" spans="2:2">
      <c r="B889" s="74"/>
    </row>
    <row r="890" spans="2:2">
      <c r="B890" s="74"/>
    </row>
    <row r="891" spans="2:2">
      <c r="B891" s="74"/>
    </row>
    <row r="892" spans="2:2">
      <c r="B892" s="74"/>
    </row>
    <row r="893" spans="2:2">
      <c r="B893" s="74"/>
    </row>
    <row r="894" spans="2:2">
      <c r="B894" s="74"/>
    </row>
    <row r="895" spans="2:2">
      <c r="B895" s="74"/>
    </row>
    <row r="896" spans="2:2">
      <c r="B896" s="74"/>
    </row>
    <row r="897" spans="2:2">
      <c r="B897" s="74"/>
    </row>
    <row r="898" spans="2:2">
      <c r="B898" s="74"/>
    </row>
    <row r="899" spans="2:2">
      <c r="B899" s="74"/>
    </row>
    <row r="900" spans="2:2">
      <c r="B900" s="74"/>
    </row>
    <row r="901" spans="2:2">
      <c r="B901" s="74"/>
    </row>
    <row r="902" spans="2:2">
      <c r="B902" s="74"/>
    </row>
    <row r="903" spans="2:2">
      <c r="B903" s="74"/>
    </row>
    <row r="904" spans="2:2">
      <c r="B904" s="74"/>
    </row>
    <row r="905" spans="2:2">
      <c r="B905" s="74"/>
    </row>
    <row r="906" spans="2:2">
      <c r="B906" s="74"/>
    </row>
    <row r="907" spans="2:2">
      <c r="B907" s="74"/>
    </row>
    <row r="908" spans="2:2">
      <c r="B908" s="74"/>
    </row>
    <row r="909" spans="2:2">
      <c r="B909" s="74"/>
    </row>
    <row r="910" spans="2:2">
      <c r="B910" s="74"/>
    </row>
    <row r="911" spans="2:2">
      <c r="B911" s="74"/>
    </row>
    <row r="912" spans="2:2">
      <c r="B912" s="74"/>
    </row>
    <row r="913" spans="2:2">
      <c r="B913" s="74"/>
    </row>
    <row r="914" spans="2:2">
      <c r="B914" s="74"/>
    </row>
    <row r="915" spans="2:2">
      <c r="B915" s="74"/>
    </row>
    <row r="916" spans="2:2">
      <c r="B916" s="74"/>
    </row>
    <row r="917" spans="2:2">
      <c r="B917" s="74"/>
    </row>
    <row r="918" spans="2:2">
      <c r="B918" s="74"/>
    </row>
    <row r="919" spans="2:2">
      <c r="B919" s="74"/>
    </row>
    <row r="920" spans="2:2">
      <c r="B920" s="74"/>
    </row>
    <row r="921" spans="2:2">
      <c r="B921" s="74"/>
    </row>
    <row r="922" spans="2:2">
      <c r="B922" s="74"/>
    </row>
    <row r="923" spans="2:2">
      <c r="B923" s="74"/>
    </row>
    <row r="924" spans="2:2">
      <c r="B924" s="74"/>
    </row>
    <row r="925" spans="2:2">
      <c r="B925" s="74"/>
    </row>
    <row r="926" spans="2:2">
      <c r="B926" s="74"/>
    </row>
    <row r="927" spans="2:2">
      <c r="B927" s="74"/>
    </row>
    <row r="928" spans="2:2">
      <c r="B928" s="74"/>
    </row>
    <row r="929" spans="2:2">
      <c r="B929" s="74"/>
    </row>
    <row r="930" spans="2:2">
      <c r="B930" s="74"/>
    </row>
    <row r="931" spans="2:2">
      <c r="B931" s="74"/>
    </row>
    <row r="932" spans="2:2">
      <c r="B932" s="74"/>
    </row>
    <row r="933" spans="2:2">
      <c r="B933" s="74"/>
    </row>
    <row r="934" spans="2:2">
      <c r="B934" s="74"/>
    </row>
    <row r="935" spans="2:2">
      <c r="B935" s="74"/>
    </row>
    <row r="936" spans="2:2">
      <c r="B936" s="74"/>
    </row>
    <row r="937" spans="2:2">
      <c r="B937" s="74"/>
    </row>
    <row r="938" spans="2:2">
      <c r="B938" s="74"/>
    </row>
    <row r="939" spans="2:2">
      <c r="B939" s="74"/>
    </row>
    <row r="940" spans="2:2">
      <c r="B940" s="74"/>
    </row>
    <row r="941" spans="2:2">
      <c r="B941" s="74"/>
    </row>
    <row r="942" spans="2:2">
      <c r="B942" s="74"/>
    </row>
    <row r="943" spans="2:2">
      <c r="B943" s="74"/>
    </row>
    <row r="944" spans="2:2">
      <c r="B944" s="74"/>
    </row>
    <row r="945" spans="2:2">
      <c r="B945" s="74"/>
    </row>
    <row r="946" spans="2:2">
      <c r="B946" s="74"/>
    </row>
    <row r="947" spans="2:2">
      <c r="B947" s="74"/>
    </row>
    <row r="948" spans="2:2">
      <c r="B948" s="74"/>
    </row>
    <row r="949" spans="2:2">
      <c r="B949" s="74"/>
    </row>
    <row r="950" spans="2:2">
      <c r="B950" s="74"/>
    </row>
    <row r="951" spans="2:2">
      <c r="B951" s="74"/>
    </row>
    <row r="952" spans="2:2">
      <c r="B952" s="74"/>
    </row>
    <row r="953" spans="2:2">
      <c r="B953" s="74"/>
    </row>
    <row r="954" spans="2:2">
      <c r="B954" s="74"/>
    </row>
    <row r="955" spans="2:2">
      <c r="B955" s="74"/>
    </row>
    <row r="956" spans="2:2">
      <c r="B956" s="74"/>
    </row>
    <row r="957" spans="2:2">
      <c r="B957" s="74"/>
    </row>
    <row r="958" spans="2:2">
      <c r="B958" s="74"/>
    </row>
    <row r="959" spans="2:2">
      <c r="B959" s="74"/>
    </row>
    <row r="960" spans="2:2">
      <c r="B960" s="74"/>
    </row>
    <row r="961" spans="2:2">
      <c r="B961" s="74"/>
    </row>
    <row r="962" spans="2:2">
      <c r="B962" s="74"/>
    </row>
    <row r="963" spans="2:2">
      <c r="B963" s="74"/>
    </row>
    <row r="964" spans="2:2">
      <c r="B964" s="74"/>
    </row>
    <row r="965" spans="2:2">
      <c r="B965" s="74"/>
    </row>
    <row r="966" spans="2:2">
      <c r="B966" s="74"/>
    </row>
    <row r="967" spans="2:2">
      <c r="B967" s="74"/>
    </row>
    <row r="968" spans="2:2">
      <c r="B968" s="74"/>
    </row>
    <row r="969" spans="2:2">
      <c r="B969" s="74"/>
    </row>
    <row r="970" spans="2:2">
      <c r="B970" s="74"/>
    </row>
    <row r="971" spans="2:2">
      <c r="B971" s="74"/>
    </row>
    <row r="972" spans="2:2">
      <c r="B972" s="74"/>
    </row>
    <row r="973" spans="2:2">
      <c r="B973" s="74"/>
    </row>
    <row r="974" spans="2:2">
      <c r="B974" s="74"/>
    </row>
    <row r="975" spans="2:2">
      <c r="B975" s="74"/>
    </row>
    <row r="976" spans="2:2">
      <c r="B976" s="74"/>
    </row>
    <row r="977" spans="2:2">
      <c r="B977" s="74"/>
    </row>
    <row r="978" spans="2:2">
      <c r="B978" s="74"/>
    </row>
    <row r="979" spans="2:2">
      <c r="B979" s="74"/>
    </row>
    <row r="980" spans="2:2">
      <c r="B980" s="74"/>
    </row>
    <row r="981" spans="2:2">
      <c r="B981" s="74"/>
    </row>
    <row r="982" spans="2:2">
      <c r="B982" s="74"/>
    </row>
    <row r="983" spans="2:2">
      <c r="B983" s="74"/>
    </row>
    <row r="984" spans="2:2">
      <c r="B984" s="74"/>
    </row>
    <row r="985" spans="2:2">
      <c r="B985" s="74"/>
    </row>
    <row r="986" spans="2:2">
      <c r="B986" s="74"/>
    </row>
    <row r="987" spans="2:2">
      <c r="B987" s="74"/>
    </row>
    <row r="988" spans="2:2">
      <c r="B988" s="74"/>
    </row>
    <row r="989" spans="2:2">
      <c r="B989" s="74"/>
    </row>
    <row r="990" spans="2:2">
      <c r="B990" s="74"/>
    </row>
    <row r="991" spans="2:2">
      <c r="B991" s="74"/>
    </row>
    <row r="992" spans="2:2">
      <c r="B992" s="74"/>
    </row>
    <row r="993" spans="2:2">
      <c r="B993" s="74"/>
    </row>
    <row r="994" spans="2:2">
      <c r="B994" s="74"/>
    </row>
    <row r="995" spans="2:2">
      <c r="B995" s="74"/>
    </row>
    <row r="996" spans="2:2">
      <c r="B996" s="74"/>
    </row>
    <row r="997" spans="2:2">
      <c r="B997" s="74"/>
    </row>
    <row r="998" spans="2:2">
      <c r="B998" s="74"/>
    </row>
    <row r="999" spans="2:2">
      <c r="B999" s="74"/>
    </row>
    <row r="1000" spans="2:2">
      <c r="B1000" s="74"/>
    </row>
    <row r="1001" spans="2:2">
      <c r="B1001" s="74"/>
    </row>
    <row r="1002" spans="2:2">
      <c r="B1002" s="74"/>
    </row>
    <row r="1003" spans="2:2">
      <c r="B1003" s="74"/>
    </row>
    <row r="1004" spans="2:2">
      <c r="B1004" s="74"/>
    </row>
    <row r="1005" spans="2:2">
      <c r="B1005" s="74"/>
    </row>
    <row r="1006" spans="2:2">
      <c r="B1006" s="74"/>
    </row>
    <row r="1007" spans="2:2">
      <c r="B1007" s="74"/>
    </row>
    <row r="1008" spans="2:2">
      <c r="B1008" s="74"/>
    </row>
    <row r="1009" spans="2:2">
      <c r="B1009" s="74"/>
    </row>
    <row r="1010" spans="2:2">
      <c r="B1010" s="74"/>
    </row>
    <row r="1011" spans="2:2">
      <c r="B1011" s="74"/>
    </row>
    <row r="1012" spans="2:2">
      <c r="B1012" s="74"/>
    </row>
    <row r="1013" spans="2:2">
      <c r="B1013" s="74"/>
    </row>
    <row r="1014" spans="2:2">
      <c r="B1014" s="74"/>
    </row>
    <row r="1015" spans="2:2">
      <c r="B1015" s="74"/>
    </row>
    <row r="1016" spans="2:2">
      <c r="B1016" s="74"/>
    </row>
    <row r="1017" spans="2:2">
      <c r="B1017" s="74"/>
    </row>
    <row r="1018" spans="2:2">
      <c r="B1018" s="74"/>
    </row>
    <row r="1019" spans="2:2">
      <c r="B1019" s="74"/>
    </row>
    <row r="1020" spans="2:2">
      <c r="B1020" s="74"/>
    </row>
    <row r="1021" spans="2:2">
      <c r="B1021" s="74"/>
    </row>
    <row r="1022" spans="2:2">
      <c r="B1022" s="74"/>
    </row>
    <row r="1023" spans="2:2">
      <c r="B1023" s="74"/>
    </row>
    <row r="1024" spans="2:2">
      <c r="B1024" s="74"/>
    </row>
    <row r="1025" spans="2:2">
      <c r="B1025" s="74"/>
    </row>
    <row r="1026" spans="2:2">
      <c r="B1026" s="74"/>
    </row>
    <row r="1027" spans="2:2">
      <c r="B1027" s="74"/>
    </row>
    <row r="1028" spans="2:2">
      <c r="B1028" s="74"/>
    </row>
    <row r="1029" spans="2:2">
      <c r="B1029" s="74"/>
    </row>
    <row r="1030" spans="2:2">
      <c r="B1030" s="74"/>
    </row>
    <row r="1031" spans="2:2">
      <c r="B1031" s="74"/>
    </row>
    <row r="1032" spans="2:2">
      <c r="B1032" s="74"/>
    </row>
    <row r="1033" spans="2:2">
      <c r="B1033" s="74"/>
    </row>
    <row r="1034" spans="2:2">
      <c r="B1034" s="74"/>
    </row>
    <row r="1035" spans="2:2">
      <c r="B1035" s="74"/>
    </row>
    <row r="1036" spans="2:2">
      <c r="B1036" s="74"/>
    </row>
    <row r="1037" spans="2:2">
      <c r="B1037" s="74"/>
    </row>
    <row r="1038" spans="2:2">
      <c r="B1038" s="74"/>
    </row>
    <row r="1039" spans="2:2">
      <c r="B1039" s="74"/>
    </row>
    <row r="1040" spans="2:2">
      <c r="B1040" s="74"/>
    </row>
    <row r="1041" spans="2:2">
      <c r="B1041" s="74"/>
    </row>
    <row r="1042" spans="2:2">
      <c r="B1042" s="74"/>
    </row>
    <row r="1043" spans="2:2">
      <c r="B1043" s="74"/>
    </row>
    <row r="1044" spans="2:2">
      <c r="B1044" s="74"/>
    </row>
    <row r="1045" spans="2:2">
      <c r="B1045" s="74"/>
    </row>
    <row r="1046" spans="2:2">
      <c r="B1046" s="74"/>
    </row>
    <row r="1047" spans="2:2">
      <c r="B1047" s="74"/>
    </row>
    <row r="1048" spans="2:2">
      <c r="B1048" s="74"/>
    </row>
    <row r="1049" spans="2:2">
      <c r="B1049" s="74"/>
    </row>
    <row r="1050" spans="2:2">
      <c r="B1050" s="74"/>
    </row>
    <row r="1051" spans="2:2">
      <c r="B1051" s="74"/>
    </row>
    <row r="1052" spans="2:2">
      <c r="B1052" s="74"/>
    </row>
    <row r="1053" spans="2:2">
      <c r="B1053" s="74"/>
    </row>
    <row r="1054" spans="2:2">
      <c r="B1054" s="74"/>
    </row>
    <row r="1055" spans="2:2">
      <c r="B1055" s="74"/>
    </row>
    <row r="1056" spans="2:2">
      <c r="B1056" s="74"/>
    </row>
    <row r="1057" spans="2:2">
      <c r="B1057" s="74"/>
    </row>
    <row r="1058" spans="2:2">
      <c r="B1058" s="74"/>
    </row>
    <row r="1059" spans="2:2">
      <c r="B1059" s="74"/>
    </row>
    <row r="1060" spans="2:2">
      <c r="B1060" s="74"/>
    </row>
    <row r="1061" spans="2:2">
      <c r="B1061" s="74"/>
    </row>
    <row r="1062" spans="2:2">
      <c r="B1062" s="74"/>
    </row>
    <row r="1063" spans="2:2">
      <c r="B1063" s="74"/>
    </row>
    <row r="1064" spans="2:2">
      <c r="B1064" s="74"/>
    </row>
    <row r="1065" spans="2:2">
      <c r="B1065" s="74"/>
    </row>
    <row r="1066" spans="2:2">
      <c r="B1066" s="74"/>
    </row>
    <row r="1067" spans="2:2">
      <c r="B1067" s="74"/>
    </row>
    <row r="1068" spans="2:2">
      <c r="B1068" s="74"/>
    </row>
    <row r="1069" spans="2:2">
      <c r="B1069" s="74"/>
    </row>
    <row r="1070" spans="2:2">
      <c r="B1070" s="74"/>
    </row>
    <row r="1071" spans="2:2">
      <c r="B1071" s="74"/>
    </row>
    <row r="1072" spans="2:2">
      <c r="B1072" s="74"/>
    </row>
    <row r="1073" spans="2:2">
      <c r="B1073" s="74"/>
    </row>
    <row r="1074" spans="2:2">
      <c r="B1074" s="74"/>
    </row>
    <row r="1075" spans="2:2">
      <c r="B1075" s="74"/>
    </row>
    <row r="1076" spans="2:2">
      <c r="B1076" s="74"/>
    </row>
    <row r="1077" spans="2:2">
      <c r="B1077" s="74"/>
    </row>
    <row r="1078" spans="2:2">
      <c r="B1078" s="74"/>
    </row>
    <row r="1079" spans="2:2">
      <c r="B1079" s="74"/>
    </row>
    <row r="1080" spans="2:2">
      <c r="B1080" s="74"/>
    </row>
    <row r="1081" spans="2:2">
      <c r="B1081" s="74"/>
    </row>
    <row r="1082" spans="2:2">
      <c r="B1082" s="74"/>
    </row>
    <row r="1083" spans="2:2">
      <c r="B1083" s="74"/>
    </row>
    <row r="1084" spans="2:2">
      <c r="B1084" s="74"/>
    </row>
    <row r="1085" spans="2:2">
      <c r="B1085" s="74"/>
    </row>
    <row r="1086" spans="2:2">
      <c r="B1086" s="74"/>
    </row>
    <row r="1087" spans="2:2">
      <c r="B1087" s="74"/>
    </row>
    <row r="1088" spans="2:2">
      <c r="B1088" s="74"/>
    </row>
    <row r="1089" spans="2:2">
      <c r="B1089" s="74"/>
    </row>
    <row r="1090" spans="2:2">
      <c r="B1090" s="74"/>
    </row>
    <row r="1091" spans="2:2">
      <c r="B1091" s="74"/>
    </row>
    <row r="1092" spans="2:2">
      <c r="B1092" s="74"/>
    </row>
    <row r="1093" spans="2:2">
      <c r="B1093" s="74"/>
    </row>
    <row r="1094" spans="2:2">
      <c r="B1094" s="74"/>
    </row>
    <row r="1095" spans="2:2">
      <c r="B1095" s="74"/>
    </row>
    <row r="1096" spans="2:2">
      <c r="B1096" s="74"/>
    </row>
    <row r="1097" spans="2:2">
      <c r="B1097" s="74"/>
    </row>
    <row r="1098" spans="2:2">
      <c r="B1098" s="74"/>
    </row>
    <row r="1099" spans="2:2">
      <c r="B1099" s="74"/>
    </row>
    <row r="1100" spans="2:2">
      <c r="B1100" s="74"/>
    </row>
    <row r="1101" spans="2:2">
      <c r="B1101" s="74"/>
    </row>
    <row r="1102" spans="2:2">
      <c r="B1102" s="74"/>
    </row>
    <row r="1103" spans="2:2">
      <c r="B1103" s="74"/>
    </row>
    <row r="1104" spans="2:2">
      <c r="B1104" s="74"/>
    </row>
    <row r="1105" spans="2:2">
      <c r="B1105" s="74"/>
    </row>
    <row r="1106" spans="2:2">
      <c r="B1106" s="74"/>
    </row>
    <row r="1107" spans="2:2">
      <c r="B1107" s="74"/>
    </row>
    <row r="1108" spans="2:2">
      <c r="B1108" s="74"/>
    </row>
    <row r="1109" spans="2:2">
      <c r="B1109" s="74"/>
    </row>
    <row r="1110" spans="2:2">
      <c r="B1110" s="74"/>
    </row>
    <row r="1111" spans="2:2">
      <c r="B1111" s="74"/>
    </row>
    <row r="1112" spans="2:2">
      <c r="B1112" s="74"/>
    </row>
    <row r="1113" spans="2:2">
      <c r="B1113" s="74"/>
    </row>
    <row r="1114" spans="2:2">
      <c r="B1114" s="74"/>
    </row>
    <row r="1115" spans="2:2">
      <c r="B1115" s="74"/>
    </row>
    <row r="1116" spans="2:2">
      <c r="B1116" s="74"/>
    </row>
    <row r="1117" spans="2:2">
      <c r="B1117" s="74"/>
    </row>
    <row r="1118" spans="2:2">
      <c r="B1118" s="74"/>
    </row>
    <row r="1119" spans="2:2">
      <c r="B1119" s="74"/>
    </row>
    <row r="1120" spans="2:2">
      <c r="B1120" s="74"/>
    </row>
    <row r="1121" spans="2:2">
      <c r="B1121" s="74"/>
    </row>
    <row r="1122" spans="2:2">
      <c r="B1122" s="74"/>
    </row>
    <row r="1123" spans="2:2">
      <c r="B1123" s="74"/>
    </row>
    <row r="1124" spans="2:2">
      <c r="B1124" s="74"/>
    </row>
    <row r="1125" spans="2:2">
      <c r="B1125" s="74"/>
    </row>
    <row r="1126" spans="2:2">
      <c r="B1126" s="74"/>
    </row>
    <row r="1127" spans="2:2">
      <c r="B1127" s="74"/>
    </row>
    <row r="1128" spans="2:2">
      <c r="B1128" s="74"/>
    </row>
    <row r="1129" spans="2:2">
      <c r="B1129" s="74"/>
    </row>
    <row r="1130" spans="2:2">
      <c r="B1130" s="74"/>
    </row>
    <row r="1131" spans="2:2">
      <c r="B1131" s="74"/>
    </row>
    <row r="1132" spans="2:2">
      <c r="B1132" s="74"/>
    </row>
    <row r="1133" spans="2:2">
      <c r="B1133" s="74"/>
    </row>
    <row r="1134" spans="2:2">
      <c r="B1134" s="74"/>
    </row>
    <row r="1135" spans="2:2">
      <c r="B1135" s="74"/>
    </row>
    <row r="1136" spans="2:2">
      <c r="B1136" s="74"/>
    </row>
    <row r="1137" spans="2:2">
      <c r="B1137" s="74"/>
    </row>
    <row r="1138" spans="2:2">
      <c r="B1138" s="74"/>
    </row>
    <row r="1139" spans="2:2">
      <c r="B1139" s="74"/>
    </row>
    <row r="1140" spans="2:2">
      <c r="B1140" s="74"/>
    </row>
    <row r="1141" spans="2:2">
      <c r="B1141" s="74"/>
    </row>
    <row r="1142" spans="2:2">
      <c r="B1142" s="74"/>
    </row>
    <row r="1143" spans="2:2">
      <c r="B1143" s="74"/>
    </row>
    <row r="1144" spans="2:2">
      <c r="B1144" s="74"/>
    </row>
    <row r="1145" spans="2:2">
      <c r="B1145" s="74"/>
    </row>
    <row r="1146" spans="2:2">
      <c r="B1146" s="74"/>
    </row>
    <row r="1147" spans="2:2">
      <c r="B1147" s="74"/>
    </row>
    <row r="1148" spans="2:2">
      <c r="B1148" s="74"/>
    </row>
    <row r="1149" spans="2:2">
      <c r="B1149" s="74"/>
    </row>
    <row r="1150" spans="2:2">
      <c r="B1150" s="74"/>
    </row>
    <row r="1151" spans="2:2">
      <c r="B1151" s="74"/>
    </row>
    <row r="1152" spans="2:2">
      <c r="B1152" s="74"/>
    </row>
    <row r="1153" spans="2:2">
      <c r="B1153" s="74"/>
    </row>
    <row r="1154" spans="2:2">
      <c r="B1154" s="74"/>
    </row>
    <row r="1155" spans="2:2">
      <c r="B1155" s="74"/>
    </row>
    <row r="1156" spans="2:2">
      <c r="B1156" s="74"/>
    </row>
    <row r="1157" spans="2:2">
      <c r="B1157" s="74"/>
    </row>
    <row r="1158" spans="2:2">
      <c r="B1158" s="74"/>
    </row>
    <row r="1159" spans="2:2">
      <c r="B1159" s="74"/>
    </row>
    <row r="1160" spans="2:2">
      <c r="B1160" s="74"/>
    </row>
    <row r="1161" spans="2:2">
      <c r="B1161" s="74"/>
    </row>
    <row r="1162" spans="2:2">
      <c r="B1162" s="74"/>
    </row>
    <row r="1163" spans="2:2">
      <c r="B1163" s="74"/>
    </row>
    <row r="1164" spans="2:2">
      <c r="B1164" s="74"/>
    </row>
    <row r="1165" spans="2:2">
      <c r="B1165" s="74"/>
    </row>
    <row r="1166" spans="2:2">
      <c r="B1166" s="74"/>
    </row>
    <row r="1167" spans="2:2">
      <c r="B1167" s="74"/>
    </row>
    <row r="1168" spans="2:2">
      <c r="B1168" s="74"/>
    </row>
    <row r="1169" spans="2:2">
      <c r="B1169" s="74"/>
    </row>
    <row r="1170" spans="2:2">
      <c r="B1170" s="74"/>
    </row>
    <row r="1171" spans="2:2">
      <c r="B1171" s="74"/>
    </row>
    <row r="1172" spans="2:2">
      <c r="B1172" s="74"/>
    </row>
    <row r="1173" spans="2:2">
      <c r="B1173" s="74"/>
    </row>
    <row r="1174" spans="2:2">
      <c r="B1174" s="74"/>
    </row>
    <row r="1175" spans="2:2">
      <c r="B1175" s="74"/>
    </row>
    <row r="1176" spans="2:2">
      <c r="B1176" s="74"/>
    </row>
  </sheetData>
  <protectedRanges>
    <protectedRange sqref="G5" name="Range2"/>
    <protectedRange algorithmName="SHA-512" hashValue="2GNvKa2b0B4zCg/8Yyer9c8XJ41K9GnmXz1XFNcl6EfWOz2Q0lIIl/PUvmgzzqlgUVcpWUjydDjIco9255haTg==" saltValue="yTxt3+m2ZpGiVxXYScDrFw==" spinCount="100000" sqref="F5" name="Range1"/>
  </protectedRanges>
  <conditionalFormatting sqref="J5:N5">
    <cfRule type="cellIs" dxfId="39" priority="2" operator="equal">
      <formula>"X"</formula>
    </cfRule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{1DACB66E-2BFA-49AE-9ACA-82172470067E}</x14:id>
        </ext>
      </extLst>
    </cfRule>
  </conditionalFormatting>
  <conditionalFormatting sqref="O5">
    <cfRule type="cellIs" dxfId="38" priority="1" operator="equal">
      <formula>"Yes"</formula>
    </cfRule>
  </conditionalFormatting>
  <pageMargins left="0.7" right="0.7" top="0.75" bottom="0.75" header="0.3" footer="0.3"/>
  <pageSetup scale="3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ACB66E-2BFA-49AE-9ACA-8217247006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J5:N5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6CAF7-DA1C-45EA-BBE6-8317E69BAAF8}">
  <sheetPr codeName="Sheet6"/>
  <dimension ref="A1:S157"/>
  <sheetViews>
    <sheetView zoomScale="60" zoomScaleNormal="60" workbookViewId="0">
      <selection activeCell="D20" sqref="A1:D20"/>
    </sheetView>
  </sheetViews>
  <sheetFormatPr baseColWidth="10" defaultColWidth="8.6640625" defaultRowHeight="14"/>
  <cols>
    <col min="1" max="1" width="2.5" style="8" customWidth="1"/>
    <col min="2" max="2" width="21.5" style="8" customWidth="1"/>
    <col min="3" max="3" width="57.6640625" style="26" customWidth="1"/>
    <col min="4" max="4" width="2.5" style="8" customWidth="1"/>
    <col min="5" max="16384" width="8.6640625" style="8"/>
  </cols>
  <sheetData>
    <row r="1" spans="1:4">
      <c r="B1" s="9"/>
      <c r="C1" s="9"/>
    </row>
    <row r="2" spans="1:4" ht="17.5" customHeight="1">
      <c r="B2" s="99" t="s">
        <v>536</v>
      </c>
      <c r="C2" s="99"/>
    </row>
    <row r="3" spans="1:4">
      <c r="B3" s="99"/>
      <c r="C3" s="99"/>
    </row>
    <row r="4" spans="1:4" ht="4.5" hidden="1" customHeight="1">
      <c r="B4" s="77"/>
      <c r="C4" s="78" t="s">
        <v>478</v>
      </c>
    </row>
    <row r="5" spans="1:4" ht="15">
      <c r="A5" s="9"/>
      <c r="B5" s="62" t="s">
        <v>534</v>
      </c>
      <c r="C5" s="76">
        <v>5795.18603515625</v>
      </c>
      <c r="D5" s="9"/>
    </row>
    <row r="6" spans="1:4" ht="15">
      <c r="B6" s="62" t="s">
        <v>15</v>
      </c>
      <c r="C6" s="81" t="s">
        <v>537</v>
      </c>
    </row>
    <row r="7" spans="1:4" ht="15">
      <c r="B7" s="63" t="s">
        <v>1</v>
      </c>
      <c r="C7" s="60" t="s">
        <v>9</v>
      </c>
    </row>
    <row r="8" spans="1:4" ht="15">
      <c r="B8" s="64" t="s">
        <v>425</v>
      </c>
      <c r="C8" s="61" t="s">
        <v>426</v>
      </c>
    </row>
    <row r="9" spans="1:4" ht="15">
      <c r="B9" s="63" t="s">
        <v>4</v>
      </c>
      <c r="C9" s="87">
        <f>SelectAppointmentDate</f>
        <v>45263</v>
      </c>
    </row>
    <row r="10" spans="1:4" ht="15">
      <c r="B10" s="63" t="s">
        <v>8</v>
      </c>
      <c r="C10" s="81" t="str">
        <f>SelectAppointmentTime</f>
        <v>2:00 - 4:00 PM</v>
      </c>
    </row>
    <row r="11" spans="1:4" ht="15">
      <c r="B11" s="63" t="s">
        <v>470</v>
      </c>
      <c r="C11" s="60" t="s">
        <v>473</v>
      </c>
    </row>
    <row r="12" spans="1:4" ht="15">
      <c r="B12" s="65" t="s">
        <v>464</v>
      </c>
      <c r="C12" s="60" t="s">
        <v>541</v>
      </c>
    </row>
    <row r="13" spans="1:4" ht="15">
      <c r="B13" s="63" t="s">
        <v>466</v>
      </c>
      <c r="C13" s="60" t="s">
        <v>533</v>
      </c>
    </row>
    <row r="14" spans="1:4" ht="15">
      <c r="B14" s="63" t="s">
        <v>467</v>
      </c>
      <c r="C14" s="60" t="s">
        <v>533</v>
      </c>
    </row>
    <row r="15" spans="1:4" ht="15">
      <c r="B15" s="63" t="s">
        <v>468</v>
      </c>
      <c r="C15" s="60"/>
    </row>
    <row r="16" spans="1:4" ht="15">
      <c r="B16" s="63" t="s">
        <v>469</v>
      </c>
      <c r="C16" s="60" t="s">
        <v>533</v>
      </c>
    </row>
    <row r="17" spans="2:3" ht="15">
      <c r="B17" s="63" t="s">
        <v>465</v>
      </c>
      <c r="C17" s="79"/>
    </row>
    <row r="18" spans="2:3" ht="15">
      <c r="B18" s="63" t="s">
        <v>449</v>
      </c>
      <c r="C18" s="79" t="s">
        <v>475</v>
      </c>
    </row>
    <row r="19" spans="2:3" ht="15">
      <c r="B19" s="63" t="s">
        <v>477</v>
      </c>
      <c r="C19" s="70">
        <v>234</v>
      </c>
    </row>
    <row r="157" spans="3:19">
      <c r="C157" s="26" t="s">
        <v>537</v>
      </c>
      <c r="D157" s="8" t="s">
        <v>9</v>
      </c>
      <c r="E157" s="8" t="s">
        <v>426</v>
      </c>
      <c r="F157" s="89">
        <v>45263</v>
      </c>
      <c r="G157" s="8" t="s">
        <v>443</v>
      </c>
      <c r="H157" s="8" t="s">
        <v>473</v>
      </c>
      <c r="I157" s="8">
        <v>6</v>
      </c>
      <c r="J157" s="8" t="b">
        <v>1</v>
      </c>
      <c r="K157" s="8" t="b">
        <v>1</v>
      </c>
      <c r="L157" s="8" t="b">
        <v>0</v>
      </c>
      <c r="M157" s="8" t="b">
        <v>1</v>
      </c>
      <c r="N157" s="8" t="b">
        <v>0</v>
      </c>
      <c r="O157" s="8" t="s">
        <v>475</v>
      </c>
      <c r="S157" s="88">
        <v>294</v>
      </c>
    </row>
  </sheetData>
  <mergeCells count="1">
    <mergeCell ref="B2:C3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79390-281E-4B80-92FD-DB17C4FC768F}">
  <sheetPr codeName="Sheet1"/>
  <dimension ref="B2:L403"/>
  <sheetViews>
    <sheetView zoomScale="50" zoomScaleNormal="50" workbookViewId="0">
      <selection activeCell="S12" sqref="S12"/>
    </sheetView>
  </sheetViews>
  <sheetFormatPr baseColWidth="10" defaultColWidth="8.83203125" defaultRowHeight="15"/>
  <cols>
    <col min="1" max="1" width="2.5" customWidth="1"/>
    <col min="2" max="2" width="12.5" style="2" bestFit="1" customWidth="1"/>
    <col min="3" max="3" width="2.5" customWidth="1"/>
    <col min="4" max="4" width="34.83203125" customWidth="1"/>
    <col min="5" max="5" width="2.5" customWidth="1"/>
    <col min="6" max="6" width="13.1640625" style="2" bestFit="1" customWidth="1"/>
    <col min="7" max="7" width="2.5" customWidth="1"/>
    <col min="8" max="8" width="29.33203125" bestFit="1" customWidth="1"/>
    <col min="9" max="9" width="2.5" customWidth="1"/>
    <col min="10" max="10" width="16" customWidth="1"/>
    <col min="12" max="12" width="2.5" customWidth="1"/>
    <col min="14" max="14" width="2.5" customWidth="1"/>
  </cols>
  <sheetData>
    <row r="2" spans="2:12">
      <c r="B2" s="101" t="s">
        <v>396</v>
      </c>
      <c r="C2" s="101"/>
      <c r="D2" s="101"/>
      <c r="E2" s="101"/>
      <c r="F2" s="101"/>
      <c r="G2" s="101"/>
      <c r="H2" s="101"/>
      <c r="I2" s="101"/>
      <c r="J2" s="101"/>
    </row>
    <row r="3" spans="2:12">
      <c r="B3" s="5"/>
    </row>
    <row r="4" spans="2:12">
      <c r="B4" s="100" t="s">
        <v>395</v>
      </c>
      <c r="C4" s="100"/>
      <c r="D4" s="100"/>
      <c r="F4" s="100" t="s">
        <v>421</v>
      </c>
      <c r="G4" s="100"/>
      <c r="H4" s="100"/>
      <c r="J4" s="11" t="s">
        <v>471</v>
      </c>
      <c r="K4" s="6"/>
      <c r="L4" s="6"/>
    </row>
    <row r="6" spans="2:12" s="1" customFormat="1">
      <c r="B6" s="1" t="s">
        <v>3</v>
      </c>
      <c r="D6" s="1" t="s">
        <v>5</v>
      </c>
      <c r="F6" s="1" t="s">
        <v>16</v>
      </c>
      <c r="H6" s="1" t="s">
        <v>17</v>
      </c>
      <c r="J6" s="1" t="s">
        <v>471</v>
      </c>
    </row>
    <row r="7" spans="2:12">
      <c r="B7" s="2" t="s">
        <v>6</v>
      </c>
      <c r="D7" s="3">
        <v>45261</v>
      </c>
      <c r="F7" s="2" t="s">
        <v>393</v>
      </c>
      <c r="H7" t="s">
        <v>24</v>
      </c>
      <c r="J7" t="s">
        <v>472</v>
      </c>
    </row>
    <row r="8" spans="2:12">
      <c r="B8" s="2" t="s">
        <v>7</v>
      </c>
      <c r="D8" s="3">
        <v>45262</v>
      </c>
      <c r="F8" s="2" t="s">
        <v>394</v>
      </c>
      <c r="H8" t="s">
        <v>25</v>
      </c>
      <c r="J8" t="s">
        <v>473</v>
      </c>
    </row>
    <row r="9" spans="2:12">
      <c r="D9" s="3">
        <v>45263</v>
      </c>
      <c r="H9" t="s">
        <v>26</v>
      </c>
    </row>
    <row r="10" spans="2:12">
      <c r="B10" s="1" t="s">
        <v>12</v>
      </c>
      <c r="D10" s="3">
        <v>45264</v>
      </c>
      <c r="F10" s="2" t="s">
        <v>407</v>
      </c>
      <c r="H10" t="s">
        <v>27</v>
      </c>
      <c r="J10" t="s">
        <v>474</v>
      </c>
    </row>
    <row r="11" spans="2:12">
      <c r="B11" s="2" t="s">
        <v>9</v>
      </c>
      <c r="D11" s="3">
        <v>45265</v>
      </c>
      <c r="F11" s="7" t="s">
        <v>408</v>
      </c>
      <c r="H11" t="s">
        <v>28</v>
      </c>
      <c r="J11" t="s">
        <v>475</v>
      </c>
    </row>
    <row r="12" spans="2:12">
      <c r="B12" s="2" t="s">
        <v>10</v>
      </c>
      <c r="D12" s="3">
        <v>45266</v>
      </c>
      <c r="F12" s="7" t="s">
        <v>409</v>
      </c>
      <c r="H12" t="s">
        <v>29</v>
      </c>
      <c r="J12" t="s">
        <v>476</v>
      </c>
    </row>
    <row r="13" spans="2:12">
      <c r="B13" s="2" t="s">
        <v>11</v>
      </c>
      <c r="D13" s="3">
        <v>45267</v>
      </c>
      <c r="F13" s="7" t="s">
        <v>410</v>
      </c>
      <c r="H13" t="s">
        <v>30</v>
      </c>
    </row>
    <row r="14" spans="2:12">
      <c r="D14" s="3">
        <v>45268</v>
      </c>
      <c r="F14" s="7" t="s">
        <v>411</v>
      </c>
      <c r="H14" t="s">
        <v>31</v>
      </c>
    </row>
    <row r="15" spans="2:12">
      <c r="B15" s="1" t="s">
        <v>13</v>
      </c>
      <c r="D15" s="3">
        <v>45269</v>
      </c>
      <c r="F15" s="7" t="s">
        <v>412</v>
      </c>
      <c r="H15" t="s">
        <v>32</v>
      </c>
    </row>
    <row r="16" spans="2:12">
      <c r="B16" s="4" t="s">
        <v>440</v>
      </c>
      <c r="D16" s="3">
        <v>45270</v>
      </c>
      <c r="F16" s="7" t="s">
        <v>413</v>
      </c>
      <c r="H16" t="s">
        <v>33</v>
      </c>
    </row>
    <row r="17" spans="2:8">
      <c r="B17" s="4" t="s">
        <v>441</v>
      </c>
      <c r="D17" s="3">
        <v>45271</v>
      </c>
      <c r="F17" s="7" t="s">
        <v>414</v>
      </c>
      <c r="H17" t="s">
        <v>34</v>
      </c>
    </row>
    <row r="18" spans="2:8">
      <c r="B18" s="4" t="s">
        <v>442</v>
      </c>
      <c r="D18" s="3">
        <v>45272</v>
      </c>
      <c r="F18" s="7" t="s">
        <v>415</v>
      </c>
      <c r="H18" t="s">
        <v>35</v>
      </c>
    </row>
    <row r="19" spans="2:8">
      <c r="B19" s="4" t="s">
        <v>443</v>
      </c>
      <c r="D19" s="3">
        <v>45273</v>
      </c>
      <c r="F19" s="7" t="s">
        <v>416</v>
      </c>
      <c r="H19" t="s">
        <v>36</v>
      </c>
    </row>
    <row r="20" spans="2:8">
      <c r="B20" s="4" t="s">
        <v>444</v>
      </c>
      <c r="D20" s="3">
        <v>45274</v>
      </c>
      <c r="F20" s="7" t="s">
        <v>417</v>
      </c>
      <c r="H20" t="s">
        <v>37</v>
      </c>
    </row>
    <row r="21" spans="2:8">
      <c r="B21" s="4" t="s">
        <v>445</v>
      </c>
      <c r="D21" s="3">
        <v>45275</v>
      </c>
      <c r="F21" s="7" t="s">
        <v>418</v>
      </c>
      <c r="H21" t="s">
        <v>38</v>
      </c>
    </row>
    <row r="22" spans="2:8">
      <c r="B22" s="4" t="s">
        <v>446</v>
      </c>
      <c r="D22" s="3">
        <v>45276</v>
      </c>
      <c r="F22" s="7" t="s">
        <v>419</v>
      </c>
      <c r="H22" t="s">
        <v>39</v>
      </c>
    </row>
    <row r="23" spans="2:8">
      <c r="D23" s="3">
        <v>45277</v>
      </c>
      <c r="H23" t="s">
        <v>40</v>
      </c>
    </row>
    <row r="24" spans="2:8">
      <c r="B24" s="2" t="s">
        <v>425</v>
      </c>
      <c r="D24" s="3">
        <v>45278</v>
      </c>
      <c r="F24" s="7" t="s">
        <v>420</v>
      </c>
      <c r="H24" t="s">
        <v>41</v>
      </c>
    </row>
    <row r="25" spans="2:8">
      <c r="B25" s="2" t="s">
        <v>426</v>
      </c>
      <c r="D25" s="3">
        <v>45279</v>
      </c>
      <c r="F25" s="2">
        <v>2003</v>
      </c>
      <c r="H25" t="s">
        <v>42</v>
      </c>
    </row>
    <row r="26" spans="2:8">
      <c r="B26" s="2" t="s">
        <v>427</v>
      </c>
      <c r="D26" s="3">
        <v>45280</v>
      </c>
      <c r="F26" s="2">
        <v>2004</v>
      </c>
      <c r="H26" t="s">
        <v>43</v>
      </c>
    </row>
    <row r="27" spans="2:8">
      <c r="B27" s="2" t="s">
        <v>428</v>
      </c>
      <c r="D27" s="3">
        <v>45281</v>
      </c>
      <c r="F27" s="2">
        <v>2005</v>
      </c>
      <c r="H27" t="s">
        <v>44</v>
      </c>
    </row>
    <row r="28" spans="2:8">
      <c r="B28" s="2" t="s">
        <v>429</v>
      </c>
      <c r="D28" s="3">
        <v>45282</v>
      </c>
      <c r="F28" s="2">
        <v>2006</v>
      </c>
      <c r="H28" t="s">
        <v>45</v>
      </c>
    </row>
    <row r="29" spans="2:8">
      <c r="B29" s="2" t="s">
        <v>430</v>
      </c>
      <c r="D29" s="3">
        <v>45283</v>
      </c>
      <c r="F29" s="2">
        <v>2007</v>
      </c>
      <c r="H29" t="s">
        <v>46</v>
      </c>
    </row>
    <row r="30" spans="2:8">
      <c r="B30" s="2" t="s">
        <v>431</v>
      </c>
      <c r="D30" s="3">
        <v>45284</v>
      </c>
      <c r="F30" s="2">
        <v>2008</v>
      </c>
      <c r="H30" t="s">
        <v>47</v>
      </c>
    </row>
    <row r="31" spans="2:8">
      <c r="B31" s="2" t="s">
        <v>432</v>
      </c>
      <c r="D31" s="3">
        <v>45285</v>
      </c>
      <c r="F31" s="2">
        <v>2009</v>
      </c>
      <c r="H31" t="s">
        <v>48</v>
      </c>
    </row>
    <row r="32" spans="2:8">
      <c r="D32" s="3">
        <v>45286</v>
      </c>
      <c r="F32" s="2">
        <v>2010</v>
      </c>
      <c r="H32" t="s">
        <v>49</v>
      </c>
    </row>
    <row r="33" spans="4:8">
      <c r="D33" s="3">
        <v>45287</v>
      </c>
      <c r="F33" s="2">
        <v>2011</v>
      </c>
      <c r="H33" t="s">
        <v>50</v>
      </c>
    </row>
    <row r="34" spans="4:8">
      <c r="D34" s="3">
        <v>45288</v>
      </c>
      <c r="F34" s="2">
        <v>2012</v>
      </c>
      <c r="H34" t="s">
        <v>51</v>
      </c>
    </row>
    <row r="35" spans="4:8">
      <c r="D35" s="3">
        <v>45289</v>
      </c>
      <c r="F35" s="2">
        <v>2013</v>
      </c>
      <c r="H35" t="s">
        <v>52</v>
      </c>
    </row>
    <row r="36" spans="4:8">
      <c r="D36" s="3">
        <v>45290</v>
      </c>
      <c r="F36" s="2">
        <v>2014</v>
      </c>
      <c r="H36" t="s">
        <v>53</v>
      </c>
    </row>
    <row r="37" spans="4:8">
      <c r="D37" s="3">
        <v>45291</v>
      </c>
      <c r="F37" s="2">
        <v>2015</v>
      </c>
      <c r="H37" t="s">
        <v>54</v>
      </c>
    </row>
    <row r="38" spans="4:8">
      <c r="D38" s="3">
        <v>45292</v>
      </c>
      <c r="F38" s="2">
        <v>2016</v>
      </c>
      <c r="H38" t="s">
        <v>55</v>
      </c>
    </row>
    <row r="39" spans="4:8">
      <c r="D39" s="3">
        <v>45293</v>
      </c>
      <c r="F39" s="2">
        <v>2017</v>
      </c>
      <c r="H39" t="s">
        <v>56</v>
      </c>
    </row>
    <row r="40" spans="4:8">
      <c r="D40" s="3">
        <v>45294</v>
      </c>
      <c r="F40" s="2">
        <v>2018</v>
      </c>
      <c r="H40" t="s">
        <v>57</v>
      </c>
    </row>
    <row r="41" spans="4:8">
      <c r="D41" s="3">
        <v>45295</v>
      </c>
      <c r="F41" s="2">
        <v>2019</v>
      </c>
      <c r="H41" t="s">
        <v>58</v>
      </c>
    </row>
    <row r="42" spans="4:8">
      <c r="D42" s="3">
        <v>45296</v>
      </c>
      <c r="F42" s="2">
        <v>2020</v>
      </c>
      <c r="H42" t="s">
        <v>59</v>
      </c>
    </row>
    <row r="43" spans="4:8">
      <c r="D43" s="3">
        <v>45297</v>
      </c>
      <c r="F43" s="2">
        <v>2021</v>
      </c>
      <c r="H43" t="s">
        <v>60</v>
      </c>
    </row>
    <row r="44" spans="4:8">
      <c r="D44" s="3">
        <v>45298</v>
      </c>
      <c r="F44" s="2">
        <v>2022</v>
      </c>
      <c r="H44" t="s">
        <v>61</v>
      </c>
    </row>
    <row r="45" spans="4:8">
      <c r="D45" s="3">
        <v>45299</v>
      </c>
      <c r="F45" s="2">
        <v>2023</v>
      </c>
      <c r="H45" t="s">
        <v>62</v>
      </c>
    </row>
    <row r="46" spans="4:8">
      <c r="D46" s="3">
        <v>45300</v>
      </c>
      <c r="F46" s="2">
        <v>2024</v>
      </c>
      <c r="H46" t="s">
        <v>63</v>
      </c>
    </row>
    <row r="47" spans="4:8">
      <c r="D47" s="3">
        <v>45301</v>
      </c>
      <c r="H47" t="s">
        <v>64</v>
      </c>
    </row>
    <row r="48" spans="4:8">
      <c r="D48" s="3">
        <v>45302</v>
      </c>
      <c r="F48" s="2" t="s">
        <v>436</v>
      </c>
      <c r="H48" t="s">
        <v>65</v>
      </c>
    </row>
    <row r="49" spans="4:8">
      <c r="D49" s="3">
        <v>45303</v>
      </c>
      <c r="F49" s="2" t="s">
        <v>437</v>
      </c>
      <c r="H49" t="s">
        <v>66</v>
      </c>
    </row>
    <row r="50" spans="4:8">
      <c r="D50" s="3">
        <v>45304</v>
      </c>
      <c r="F50" s="2" t="s">
        <v>438</v>
      </c>
      <c r="H50" t="s">
        <v>67</v>
      </c>
    </row>
    <row r="51" spans="4:8">
      <c r="D51" s="3">
        <v>45305</v>
      </c>
      <c r="F51" s="2" t="s">
        <v>439</v>
      </c>
      <c r="H51" t="s">
        <v>68</v>
      </c>
    </row>
    <row r="52" spans="4:8">
      <c r="D52" s="3">
        <v>45306</v>
      </c>
      <c r="H52" t="s">
        <v>69</v>
      </c>
    </row>
    <row r="53" spans="4:8">
      <c r="D53" s="3">
        <v>45307</v>
      </c>
      <c r="F53" s="2" t="s">
        <v>19</v>
      </c>
      <c r="H53" t="s">
        <v>70</v>
      </c>
    </row>
    <row r="54" spans="4:8">
      <c r="D54" s="3">
        <v>45308</v>
      </c>
      <c r="F54" s="2" t="s">
        <v>397</v>
      </c>
      <c r="H54" t="s">
        <v>71</v>
      </c>
    </row>
    <row r="55" spans="4:8">
      <c r="D55" s="3">
        <v>45309</v>
      </c>
      <c r="F55" s="2" t="s">
        <v>398</v>
      </c>
      <c r="H55" t="s">
        <v>72</v>
      </c>
    </row>
    <row r="56" spans="4:8">
      <c r="D56" s="3">
        <v>45310</v>
      </c>
      <c r="F56" s="2" t="s">
        <v>399</v>
      </c>
      <c r="H56" t="s">
        <v>73</v>
      </c>
    </row>
    <row r="57" spans="4:8">
      <c r="D57" s="3">
        <v>45311</v>
      </c>
      <c r="H57" t="s">
        <v>74</v>
      </c>
    </row>
    <row r="58" spans="4:8">
      <c r="D58" s="3">
        <v>45312</v>
      </c>
      <c r="F58" s="2" t="s">
        <v>18</v>
      </c>
      <c r="H58" t="s">
        <v>75</v>
      </c>
    </row>
    <row r="59" spans="4:8">
      <c r="D59" s="3">
        <v>45313</v>
      </c>
      <c r="F59" s="2" t="s">
        <v>404</v>
      </c>
      <c r="H59" t="s">
        <v>76</v>
      </c>
    </row>
    <row r="60" spans="4:8">
      <c r="D60" s="3">
        <v>45314</v>
      </c>
      <c r="F60" s="2" t="s">
        <v>405</v>
      </c>
      <c r="H60" t="s">
        <v>77</v>
      </c>
    </row>
    <row r="61" spans="4:8">
      <c r="D61" s="3">
        <v>45315</v>
      </c>
      <c r="F61" s="2" t="s">
        <v>400</v>
      </c>
      <c r="H61" t="s">
        <v>78</v>
      </c>
    </row>
    <row r="62" spans="4:8">
      <c r="D62" s="3">
        <v>45316</v>
      </c>
      <c r="F62" s="2" t="s">
        <v>401</v>
      </c>
      <c r="H62" t="s">
        <v>79</v>
      </c>
    </row>
    <row r="63" spans="4:8">
      <c r="D63" s="3">
        <v>45317</v>
      </c>
      <c r="F63" s="2" t="s">
        <v>402</v>
      </c>
      <c r="H63" t="s">
        <v>80</v>
      </c>
    </row>
    <row r="64" spans="4:8">
      <c r="D64" s="3">
        <v>45318</v>
      </c>
      <c r="F64" s="2" t="s">
        <v>406</v>
      </c>
      <c r="H64" t="s">
        <v>81</v>
      </c>
    </row>
    <row r="65" spans="4:8">
      <c r="D65" s="3">
        <v>45319</v>
      </c>
      <c r="F65" s="2" t="s">
        <v>403</v>
      </c>
      <c r="H65" t="s">
        <v>82</v>
      </c>
    </row>
    <row r="66" spans="4:8">
      <c r="D66" s="3">
        <v>45320</v>
      </c>
      <c r="H66" t="s">
        <v>83</v>
      </c>
    </row>
    <row r="67" spans="4:8">
      <c r="D67" s="3">
        <v>45321</v>
      </c>
      <c r="F67" t="s">
        <v>479</v>
      </c>
      <c r="H67" t="s">
        <v>84</v>
      </c>
    </row>
    <row r="68" spans="4:8">
      <c r="D68" s="3">
        <v>45322</v>
      </c>
      <c r="F68" s="25" t="s">
        <v>480</v>
      </c>
      <c r="H68" t="s">
        <v>85</v>
      </c>
    </row>
    <row r="69" spans="4:8">
      <c r="D69" s="3">
        <v>45323</v>
      </c>
      <c r="F69" s="25" t="s">
        <v>481</v>
      </c>
      <c r="H69" t="s">
        <v>86</v>
      </c>
    </row>
    <row r="70" spans="4:8">
      <c r="D70" s="3">
        <v>45324</v>
      </c>
      <c r="F70" s="25" t="s">
        <v>482</v>
      </c>
      <c r="H70" t="s">
        <v>87</v>
      </c>
    </row>
    <row r="71" spans="4:8">
      <c r="D71" s="3">
        <v>45325</v>
      </c>
      <c r="F71" s="25" t="s">
        <v>483</v>
      </c>
      <c r="H71" t="s">
        <v>88</v>
      </c>
    </row>
    <row r="72" spans="4:8">
      <c r="D72" s="3">
        <v>45326</v>
      </c>
      <c r="F72" s="25" t="s">
        <v>484</v>
      </c>
      <c r="H72" t="s">
        <v>89</v>
      </c>
    </row>
    <row r="73" spans="4:8">
      <c r="D73" s="3">
        <v>45327</v>
      </c>
      <c r="F73" s="25" t="s">
        <v>485</v>
      </c>
      <c r="H73" t="s">
        <v>90</v>
      </c>
    </row>
    <row r="74" spans="4:8">
      <c r="D74" s="3">
        <v>45328</v>
      </c>
      <c r="F74" s="25" t="s">
        <v>486</v>
      </c>
      <c r="H74" t="s">
        <v>91</v>
      </c>
    </row>
    <row r="75" spans="4:8">
      <c r="D75" s="3">
        <v>45329</v>
      </c>
      <c r="F75" s="25" t="s">
        <v>487</v>
      </c>
      <c r="H75" t="s">
        <v>92</v>
      </c>
    </row>
    <row r="76" spans="4:8">
      <c r="D76" s="3">
        <v>45330</v>
      </c>
      <c r="F76" s="25" t="s">
        <v>488</v>
      </c>
      <c r="H76" t="s">
        <v>93</v>
      </c>
    </row>
    <row r="77" spans="4:8">
      <c r="D77" s="3">
        <v>45331</v>
      </c>
      <c r="F77" s="25" t="s">
        <v>489</v>
      </c>
      <c r="H77" t="s">
        <v>94</v>
      </c>
    </row>
    <row r="78" spans="4:8">
      <c r="D78" s="3">
        <v>45332</v>
      </c>
      <c r="F78" s="25" t="s">
        <v>490</v>
      </c>
      <c r="H78" t="s">
        <v>95</v>
      </c>
    </row>
    <row r="79" spans="4:8">
      <c r="D79" s="3">
        <v>45333</v>
      </c>
      <c r="F79" s="25" t="s">
        <v>491</v>
      </c>
      <c r="H79" t="s">
        <v>96</v>
      </c>
    </row>
    <row r="80" spans="4:8">
      <c r="D80" s="3">
        <v>45334</v>
      </c>
      <c r="F80" s="25" t="s">
        <v>492</v>
      </c>
      <c r="H80" t="s">
        <v>97</v>
      </c>
    </row>
    <row r="81" spans="4:8">
      <c r="D81" s="3">
        <v>45335</v>
      </c>
      <c r="F81" s="25" t="s">
        <v>493</v>
      </c>
      <c r="H81" t="s">
        <v>98</v>
      </c>
    </row>
    <row r="82" spans="4:8">
      <c r="D82" s="3">
        <v>45336</v>
      </c>
      <c r="F82" s="25" t="s">
        <v>494</v>
      </c>
      <c r="H82" t="s">
        <v>99</v>
      </c>
    </row>
    <row r="83" spans="4:8">
      <c r="D83" s="3">
        <v>45337</v>
      </c>
      <c r="F83" s="25" t="s">
        <v>495</v>
      </c>
      <c r="H83" t="s">
        <v>100</v>
      </c>
    </row>
    <row r="84" spans="4:8">
      <c r="D84" s="3">
        <v>45338</v>
      </c>
      <c r="F84" s="25" t="s">
        <v>496</v>
      </c>
      <c r="H84" t="s">
        <v>101</v>
      </c>
    </row>
    <row r="85" spans="4:8">
      <c r="D85" s="3">
        <v>45339</v>
      </c>
      <c r="F85" s="25" t="s">
        <v>497</v>
      </c>
      <c r="H85" t="s">
        <v>102</v>
      </c>
    </row>
    <row r="86" spans="4:8">
      <c r="D86" s="3">
        <v>45340</v>
      </c>
      <c r="F86" s="25" t="s">
        <v>498</v>
      </c>
      <c r="H86" t="s">
        <v>103</v>
      </c>
    </row>
    <row r="87" spans="4:8">
      <c r="D87" s="3">
        <v>45341</v>
      </c>
      <c r="F87" s="25" t="s">
        <v>499</v>
      </c>
      <c r="H87" t="s">
        <v>104</v>
      </c>
    </row>
    <row r="88" spans="4:8">
      <c r="D88" s="3">
        <v>45342</v>
      </c>
      <c r="F88" s="25" t="s">
        <v>500</v>
      </c>
      <c r="H88" t="s">
        <v>105</v>
      </c>
    </row>
    <row r="89" spans="4:8">
      <c r="D89" s="3">
        <v>45343</v>
      </c>
      <c r="F89" s="25" t="s">
        <v>501</v>
      </c>
      <c r="H89" t="s">
        <v>106</v>
      </c>
    </row>
    <row r="90" spans="4:8">
      <c r="D90" s="3">
        <v>45344</v>
      </c>
      <c r="F90" s="25" t="s">
        <v>502</v>
      </c>
      <c r="H90" t="s">
        <v>107</v>
      </c>
    </row>
    <row r="91" spans="4:8">
      <c r="D91" s="3">
        <v>45345</v>
      </c>
      <c r="F91" s="25" t="s">
        <v>503</v>
      </c>
      <c r="H91" t="s">
        <v>108</v>
      </c>
    </row>
    <row r="92" spans="4:8">
      <c r="D92" s="3">
        <v>45346</v>
      </c>
      <c r="F92" s="25" t="s">
        <v>504</v>
      </c>
      <c r="H92" t="s">
        <v>109</v>
      </c>
    </row>
    <row r="93" spans="4:8">
      <c r="D93" s="3">
        <v>45347</v>
      </c>
      <c r="F93" s="25" t="s">
        <v>505</v>
      </c>
      <c r="H93" t="s">
        <v>110</v>
      </c>
    </row>
    <row r="94" spans="4:8">
      <c r="D94" s="3">
        <v>45348</v>
      </c>
      <c r="F94" s="25" t="s">
        <v>506</v>
      </c>
      <c r="H94" t="s">
        <v>111</v>
      </c>
    </row>
    <row r="95" spans="4:8">
      <c r="D95" s="3">
        <v>45349</v>
      </c>
      <c r="F95" s="25" t="s">
        <v>507</v>
      </c>
      <c r="H95" t="s">
        <v>112</v>
      </c>
    </row>
    <row r="96" spans="4:8">
      <c r="D96" s="3">
        <v>45350</v>
      </c>
      <c r="F96" s="25" t="s">
        <v>508</v>
      </c>
      <c r="H96" t="s">
        <v>113</v>
      </c>
    </row>
    <row r="97" spans="4:8">
      <c r="D97" s="3">
        <v>45351</v>
      </c>
      <c r="F97" s="25" t="s">
        <v>509</v>
      </c>
      <c r="H97" t="s">
        <v>114</v>
      </c>
    </row>
    <row r="98" spans="4:8">
      <c r="D98" s="3">
        <v>45352</v>
      </c>
      <c r="F98" s="25" t="s">
        <v>510</v>
      </c>
      <c r="H98" t="s">
        <v>115</v>
      </c>
    </row>
    <row r="99" spans="4:8">
      <c r="D99" s="3">
        <v>45353</v>
      </c>
      <c r="F99" s="25" t="s">
        <v>511</v>
      </c>
      <c r="H99" t="s">
        <v>116</v>
      </c>
    </row>
    <row r="100" spans="4:8">
      <c r="D100" s="3">
        <v>45354</v>
      </c>
      <c r="F100" s="25" t="s">
        <v>512</v>
      </c>
      <c r="H100" t="s">
        <v>117</v>
      </c>
    </row>
    <row r="101" spans="4:8">
      <c r="D101" s="3">
        <v>45355</v>
      </c>
      <c r="F101" s="25" t="s">
        <v>513</v>
      </c>
      <c r="H101" t="s">
        <v>118</v>
      </c>
    </row>
    <row r="102" spans="4:8">
      <c r="D102" s="3">
        <v>45356</v>
      </c>
      <c r="F102" s="25" t="s">
        <v>514</v>
      </c>
      <c r="H102" t="s">
        <v>119</v>
      </c>
    </row>
    <row r="103" spans="4:8">
      <c r="D103" s="3">
        <v>45357</v>
      </c>
      <c r="F103" s="25" t="s">
        <v>515</v>
      </c>
      <c r="H103" t="s">
        <v>120</v>
      </c>
    </row>
    <row r="104" spans="4:8">
      <c r="D104" s="3">
        <v>45358</v>
      </c>
      <c r="F104" s="25" t="s">
        <v>516</v>
      </c>
      <c r="H104" t="s">
        <v>121</v>
      </c>
    </row>
    <row r="105" spans="4:8">
      <c r="D105" s="3">
        <v>45359</v>
      </c>
      <c r="F105" s="25" t="s">
        <v>517</v>
      </c>
      <c r="H105" t="s">
        <v>122</v>
      </c>
    </row>
    <row r="106" spans="4:8">
      <c r="D106" s="3">
        <v>45360</v>
      </c>
      <c r="F106" s="25" t="s">
        <v>518</v>
      </c>
      <c r="H106" t="s">
        <v>123</v>
      </c>
    </row>
    <row r="107" spans="4:8">
      <c r="D107" s="3">
        <v>45361</v>
      </c>
      <c r="F107" s="25" t="s">
        <v>519</v>
      </c>
      <c r="H107" t="s">
        <v>124</v>
      </c>
    </row>
    <row r="108" spans="4:8">
      <c r="D108" s="3">
        <v>45362</v>
      </c>
      <c r="F108" s="25" t="s">
        <v>520</v>
      </c>
      <c r="H108" t="s">
        <v>125</v>
      </c>
    </row>
    <row r="109" spans="4:8">
      <c r="D109" s="3">
        <v>45363</v>
      </c>
      <c r="F109" s="25" t="s">
        <v>521</v>
      </c>
      <c r="H109" t="s">
        <v>126</v>
      </c>
    </row>
    <row r="110" spans="4:8">
      <c r="D110" s="3">
        <v>45364</v>
      </c>
      <c r="F110" s="25" t="s">
        <v>522</v>
      </c>
      <c r="H110" t="s">
        <v>127</v>
      </c>
    </row>
    <row r="111" spans="4:8">
      <c r="D111" s="3">
        <v>45365</v>
      </c>
      <c r="F111" s="25" t="s">
        <v>523</v>
      </c>
      <c r="H111" t="s">
        <v>128</v>
      </c>
    </row>
    <row r="112" spans="4:8">
      <c r="D112" s="3">
        <v>45366</v>
      </c>
      <c r="F112" s="25" t="s">
        <v>524</v>
      </c>
      <c r="H112" t="s">
        <v>129</v>
      </c>
    </row>
    <row r="113" spans="4:8">
      <c r="D113" s="3">
        <v>45367</v>
      </c>
      <c r="F113" s="25" t="s">
        <v>525</v>
      </c>
      <c r="H113" t="s">
        <v>130</v>
      </c>
    </row>
    <row r="114" spans="4:8">
      <c r="D114" s="3">
        <v>45368</v>
      </c>
      <c r="F114" s="25" t="s">
        <v>526</v>
      </c>
      <c r="H114" t="s">
        <v>131</v>
      </c>
    </row>
    <row r="115" spans="4:8">
      <c r="D115" s="3">
        <v>45369</v>
      </c>
      <c r="F115" s="25" t="s">
        <v>527</v>
      </c>
      <c r="H115" t="s">
        <v>132</v>
      </c>
    </row>
    <row r="116" spans="4:8">
      <c r="D116" s="3">
        <v>45370</v>
      </c>
      <c r="F116" s="25" t="s">
        <v>528</v>
      </c>
      <c r="H116" t="s">
        <v>133</v>
      </c>
    </row>
    <row r="117" spans="4:8">
      <c r="D117" s="3">
        <v>45371</v>
      </c>
      <c r="F117" s="25" t="s">
        <v>529</v>
      </c>
      <c r="H117" t="s">
        <v>134</v>
      </c>
    </row>
    <row r="118" spans="4:8">
      <c r="D118" s="3">
        <v>45372</v>
      </c>
      <c r="H118" t="s">
        <v>135</v>
      </c>
    </row>
    <row r="119" spans="4:8">
      <c r="D119" s="3">
        <v>45373</v>
      </c>
      <c r="H119" t="s">
        <v>136</v>
      </c>
    </row>
    <row r="120" spans="4:8">
      <c r="D120" s="3">
        <v>45374</v>
      </c>
      <c r="H120" t="s">
        <v>137</v>
      </c>
    </row>
    <row r="121" spans="4:8">
      <c r="D121" s="3">
        <v>45375</v>
      </c>
      <c r="H121" t="s">
        <v>138</v>
      </c>
    </row>
    <row r="122" spans="4:8">
      <c r="D122" s="3">
        <v>45376</v>
      </c>
      <c r="H122" t="s">
        <v>139</v>
      </c>
    </row>
    <row r="123" spans="4:8">
      <c r="D123" s="3">
        <v>45377</v>
      </c>
      <c r="H123" t="s">
        <v>140</v>
      </c>
    </row>
    <row r="124" spans="4:8">
      <c r="D124" s="3">
        <v>45378</v>
      </c>
      <c r="H124" t="s">
        <v>141</v>
      </c>
    </row>
    <row r="125" spans="4:8">
      <c r="D125" s="3">
        <v>45379</v>
      </c>
      <c r="H125" t="s">
        <v>142</v>
      </c>
    </row>
    <row r="126" spans="4:8">
      <c r="D126" s="3">
        <v>45380</v>
      </c>
      <c r="H126" t="s">
        <v>143</v>
      </c>
    </row>
    <row r="127" spans="4:8">
      <c r="D127" s="3">
        <v>45381</v>
      </c>
      <c r="H127" t="s">
        <v>144</v>
      </c>
    </row>
    <row r="128" spans="4:8">
      <c r="D128" s="3">
        <v>45382</v>
      </c>
      <c r="H128" t="s">
        <v>145</v>
      </c>
    </row>
    <row r="129" spans="4:8">
      <c r="D129" s="3">
        <v>45383</v>
      </c>
      <c r="H129" t="s">
        <v>146</v>
      </c>
    </row>
    <row r="130" spans="4:8">
      <c r="D130" s="3">
        <v>45384</v>
      </c>
      <c r="H130" t="s">
        <v>147</v>
      </c>
    </row>
    <row r="131" spans="4:8">
      <c r="D131" s="3">
        <v>45385</v>
      </c>
      <c r="H131" t="s">
        <v>148</v>
      </c>
    </row>
    <row r="132" spans="4:8">
      <c r="D132" s="3">
        <v>45386</v>
      </c>
      <c r="H132" t="s">
        <v>149</v>
      </c>
    </row>
    <row r="133" spans="4:8">
      <c r="D133" s="3">
        <v>45387</v>
      </c>
      <c r="H133" t="s">
        <v>150</v>
      </c>
    </row>
    <row r="134" spans="4:8">
      <c r="D134" s="3">
        <v>45388</v>
      </c>
      <c r="H134" t="s">
        <v>151</v>
      </c>
    </row>
    <row r="135" spans="4:8">
      <c r="D135" s="3">
        <v>45389</v>
      </c>
      <c r="H135" t="s">
        <v>152</v>
      </c>
    </row>
    <row r="136" spans="4:8">
      <c r="D136" s="3">
        <v>45390</v>
      </c>
      <c r="H136" t="s">
        <v>153</v>
      </c>
    </row>
    <row r="137" spans="4:8">
      <c r="D137" s="3">
        <v>45391</v>
      </c>
      <c r="H137" t="s">
        <v>154</v>
      </c>
    </row>
    <row r="138" spans="4:8">
      <c r="D138" s="3">
        <v>45392</v>
      </c>
      <c r="H138" t="s">
        <v>155</v>
      </c>
    </row>
    <row r="139" spans="4:8">
      <c r="D139" s="3">
        <v>45393</v>
      </c>
      <c r="H139" t="s">
        <v>156</v>
      </c>
    </row>
    <row r="140" spans="4:8">
      <c r="D140" s="3">
        <v>45394</v>
      </c>
      <c r="H140" t="s">
        <v>157</v>
      </c>
    </row>
    <row r="141" spans="4:8">
      <c r="D141" s="3">
        <v>45395</v>
      </c>
      <c r="H141" t="s">
        <v>158</v>
      </c>
    </row>
    <row r="142" spans="4:8">
      <c r="D142" s="3">
        <v>45396</v>
      </c>
      <c r="H142" t="s">
        <v>159</v>
      </c>
    </row>
    <row r="143" spans="4:8">
      <c r="D143" s="3">
        <v>45397</v>
      </c>
      <c r="H143" t="s">
        <v>160</v>
      </c>
    </row>
    <row r="144" spans="4:8">
      <c r="D144" s="3">
        <v>45398</v>
      </c>
      <c r="H144" t="s">
        <v>161</v>
      </c>
    </row>
    <row r="145" spans="4:8">
      <c r="D145" s="3">
        <v>45399</v>
      </c>
      <c r="H145" t="s">
        <v>162</v>
      </c>
    </row>
    <row r="146" spans="4:8">
      <c r="D146" s="3">
        <v>45400</v>
      </c>
      <c r="H146" t="s">
        <v>163</v>
      </c>
    </row>
    <row r="147" spans="4:8">
      <c r="D147" s="3">
        <v>45401</v>
      </c>
      <c r="H147" t="s">
        <v>164</v>
      </c>
    </row>
    <row r="148" spans="4:8">
      <c r="D148" s="3">
        <v>45402</v>
      </c>
      <c r="H148" t="s">
        <v>165</v>
      </c>
    </row>
    <row r="149" spans="4:8">
      <c r="D149" s="3">
        <v>45403</v>
      </c>
      <c r="H149" t="s">
        <v>166</v>
      </c>
    </row>
    <row r="150" spans="4:8">
      <c r="D150" s="3">
        <v>45404</v>
      </c>
      <c r="H150" t="s">
        <v>167</v>
      </c>
    </row>
    <row r="151" spans="4:8">
      <c r="D151" s="3">
        <v>45405</v>
      </c>
      <c r="H151" t="s">
        <v>168</v>
      </c>
    </row>
    <row r="152" spans="4:8">
      <c r="D152" s="3">
        <v>45406</v>
      </c>
      <c r="H152" t="s">
        <v>169</v>
      </c>
    </row>
    <row r="153" spans="4:8">
      <c r="D153" s="3">
        <v>45407</v>
      </c>
      <c r="H153" t="s">
        <v>170</v>
      </c>
    </row>
    <row r="154" spans="4:8">
      <c r="D154" s="3">
        <v>45408</v>
      </c>
      <c r="H154" t="s">
        <v>171</v>
      </c>
    </row>
    <row r="155" spans="4:8">
      <c r="D155" s="3">
        <v>45409</v>
      </c>
      <c r="H155" t="s">
        <v>172</v>
      </c>
    </row>
    <row r="156" spans="4:8">
      <c r="D156" s="3">
        <v>45410</v>
      </c>
      <c r="H156" t="s">
        <v>173</v>
      </c>
    </row>
    <row r="157" spans="4:8">
      <c r="D157" s="3">
        <v>45411</v>
      </c>
      <c r="H157" t="s">
        <v>174</v>
      </c>
    </row>
    <row r="158" spans="4:8">
      <c r="D158" s="3">
        <v>45412</v>
      </c>
      <c r="H158" t="s">
        <v>175</v>
      </c>
    </row>
    <row r="159" spans="4:8">
      <c r="D159" s="3">
        <v>45413</v>
      </c>
      <c r="H159" t="s">
        <v>176</v>
      </c>
    </row>
    <row r="160" spans="4:8">
      <c r="D160" s="3">
        <v>45414</v>
      </c>
      <c r="H160" t="s">
        <v>177</v>
      </c>
    </row>
    <row r="161" spans="4:8">
      <c r="D161" s="3">
        <v>45415</v>
      </c>
      <c r="H161" t="s">
        <v>178</v>
      </c>
    </row>
    <row r="162" spans="4:8">
      <c r="D162" s="3">
        <v>45416</v>
      </c>
      <c r="H162" t="s">
        <v>179</v>
      </c>
    </row>
    <row r="163" spans="4:8">
      <c r="D163" s="3">
        <v>45417</v>
      </c>
      <c r="H163" t="s">
        <v>180</v>
      </c>
    </row>
    <row r="164" spans="4:8">
      <c r="D164" s="3">
        <v>45418</v>
      </c>
      <c r="H164" t="s">
        <v>181</v>
      </c>
    </row>
    <row r="165" spans="4:8">
      <c r="D165" s="3">
        <v>45419</v>
      </c>
      <c r="H165" t="s">
        <v>182</v>
      </c>
    </row>
    <row r="166" spans="4:8">
      <c r="D166" s="3">
        <v>45420</v>
      </c>
      <c r="H166" t="s">
        <v>183</v>
      </c>
    </row>
    <row r="167" spans="4:8">
      <c r="D167" s="3">
        <v>45421</v>
      </c>
      <c r="H167" t="s">
        <v>184</v>
      </c>
    </row>
    <row r="168" spans="4:8">
      <c r="D168" s="3">
        <v>45422</v>
      </c>
      <c r="H168" t="s">
        <v>185</v>
      </c>
    </row>
    <row r="169" spans="4:8">
      <c r="D169" s="3">
        <v>45423</v>
      </c>
      <c r="H169" t="s">
        <v>186</v>
      </c>
    </row>
    <row r="170" spans="4:8">
      <c r="D170" s="3">
        <v>45424</v>
      </c>
      <c r="H170" t="s">
        <v>187</v>
      </c>
    </row>
    <row r="171" spans="4:8">
      <c r="D171" s="3">
        <v>45425</v>
      </c>
      <c r="H171" t="s">
        <v>188</v>
      </c>
    </row>
    <row r="172" spans="4:8">
      <c r="D172" s="3">
        <v>45426</v>
      </c>
      <c r="H172" t="s">
        <v>189</v>
      </c>
    </row>
    <row r="173" spans="4:8">
      <c r="D173" s="3">
        <v>45427</v>
      </c>
      <c r="H173" t="s">
        <v>190</v>
      </c>
    </row>
    <row r="174" spans="4:8">
      <c r="D174" s="3">
        <v>45428</v>
      </c>
      <c r="H174" t="s">
        <v>191</v>
      </c>
    </row>
    <row r="175" spans="4:8">
      <c r="D175" s="3">
        <v>45429</v>
      </c>
      <c r="H175" t="s">
        <v>192</v>
      </c>
    </row>
    <row r="176" spans="4:8">
      <c r="D176" s="3">
        <v>45430</v>
      </c>
      <c r="H176" t="s">
        <v>193</v>
      </c>
    </row>
    <row r="177" spans="4:8">
      <c r="D177" s="3">
        <v>45431</v>
      </c>
      <c r="H177" t="s">
        <v>194</v>
      </c>
    </row>
    <row r="178" spans="4:8">
      <c r="D178" s="3">
        <v>45432</v>
      </c>
      <c r="H178" t="s">
        <v>195</v>
      </c>
    </row>
    <row r="179" spans="4:8">
      <c r="D179" s="3">
        <v>45433</v>
      </c>
      <c r="H179" t="s">
        <v>196</v>
      </c>
    </row>
    <row r="180" spans="4:8">
      <c r="D180" s="3">
        <v>45434</v>
      </c>
      <c r="H180" t="s">
        <v>197</v>
      </c>
    </row>
    <row r="181" spans="4:8">
      <c r="D181" s="3">
        <v>45435</v>
      </c>
      <c r="H181" t="s">
        <v>198</v>
      </c>
    </row>
    <row r="182" spans="4:8">
      <c r="D182" s="3">
        <v>45436</v>
      </c>
      <c r="H182" t="s">
        <v>199</v>
      </c>
    </row>
    <row r="183" spans="4:8">
      <c r="D183" s="3">
        <v>45437</v>
      </c>
      <c r="H183" t="s">
        <v>200</v>
      </c>
    </row>
    <row r="184" spans="4:8">
      <c r="D184" s="3">
        <v>45438</v>
      </c>
      <c r="H184" t="s">
        <v>201</v>
      </c>
    </row>
    <row r="185" spans="4:8">
      <c r="D185" s="3">
        <v>45439</v>
      </c>
      <c r="H185" t="s">
        <v>202</v>
      </c>
    </row>
    <row r="186" spans="4:8">
      <c r="D186" s="3">
        <v>45440</v>
      </c>
      <c r="H186" t="s">
        <v>203</v>
      </c>
    </row>
    <row r="187" spans="4:8">
      <c r="D187" s="3">
        <v>45441</v>
      </c>
      <c r="H187" t="s">
        <v>204</v>
      </c>
    </row>
    <row r="188" spans="4:8">
      <c r="D188" s="3">
        <v>45442</v>
      </c>
      <c r="H188" t="s">
        <v>205</v>
      </c>
    </row>
    <row r="189" spans="4:8">
      <c r="D189" s="3">
        <v>45443</v>
      </c>
      <c r="H189" t="s">
        <v>206</v>
      </c>
    </row>
    <row r="190" spans="4:8">
      <c r="D190" s="3">
        <v>45444</v>
      </c>
      <c r="H190" t="s">
        <v>207</v>
      </c>
    </row>
    <row r="191" spans="4:8">
      <c r="D191" s="3">
        <v>45445</v>
      </c>
      <c r="H191" t="s">
        <v>208</v>
      </c>
    </row>
    <row r="192" spans="4:8">
      <c r="D192" s="3">
        <v>45446</v>
      </c>
      <c r="H192" t="s">
        <v>209</v>
      </c>
    </row>
    <row r="193" spans="4:8">
      <c r="D193" s="3">
        <v>45447</v>
      </c>
      <c r="H193" t="s">
        <v>210</v>
      </c>
    </row>
    <row r="194" spans="4:8">
      <c r="D194" s="3">
        <v>45448</v>
      </c>
      <c r="H194" t="s">
        <v>211</v>
      </c>
    </row>
    <row r="195" spans="4:8">
      <c r="D195" s="3">
        <v>45449</v>
      </c>
      <c r="H195" t="s">
        <v>212</v>
      </c>
    </row>
    <row r="196" spans="4:8">
      <c r="D196" s="3">
        <v>45450</v>
      </c>
      <c r="H196" t="s">
        <v>213</v>
      </c>
    </row>
    <row r="197" spans="4:8">
      <c r="D197" s="3">
        <v>45451</v>
      </c>
      <c r="H197" t="s">
        <v>214</v>
      </c>
    </row>
    <row r="198" spans="4:8">
      <c r="D198" s="3">
        <v>45452</v>
      </c>
      <c r="H198" t="s">
        <v>215</v>
      </c>
    </row>
    <row r="199" spans="4:8">
      <c r="D199" s="3">
        <v>45453</v>
      </c>
      <c r="H199" t="s">
        <v>216</v>
      </c>
    </row>
    <row r="200" spans="4:8">
      <c r="D200" s="3">
        <v>45454</v>
      </c>
      <c r="H200" t="s">
        <v>217</v>
      </c>
    </row>
    <row r="201" spans="4:8">
      <c r="D201" s="3">
        <v>45455</v>
      </c>
      <c r="H201" t="s">
        <v>218</v>
      </c>
    </row>
    <row r="202" spans="4:8">
      <c r="D202" s="3">
        <v>45456</v>
      </c>
      <c r="H202" t="s">
        <v>219</v>
      </c>
    </row>
    <row r="203" spans="4:8">
      <c r="D203" s="3">
        <v>45457</v>
      </c>
      <c r="H203" t="s">
        <v>220</v>
      </c>
    </row>
    <row r="204" spans="4:8">
      <c r="D204" s="3">
        <v>45458</v>
      </c>
      <c r="H204" t="s">
        <v>221</v>
      </c>
    </row>
    <row r="205" spans="4:8">
      <c r="D205" s="3">
        <v>45459</v>
      </c>
      <c r="H205" t="s">
        <v>222</v>
      </c>
    </row>
    <row r="206" spans="4:8">
      <c r="D206" s="3">
        <v>45460</v>
      </c>
      <c r="H206" t="s">
        <v>223</v>
      </c>
    </row>
    <row r="207" spans="4:8">
      <c r="D207" s="3">
        <v>45461</v>
      </c>
      <c r="H207" t="s">
        <v>224</v>
      </c>
    </row>
    <row r="208" spans="4:8">
      <c r="D208" s="3">
        <v>45462</v>
      </c>
      <c r="H208" t="s">
        <v>225</v>
      </c>
    </row>
    <row r="209" spans="4:8">
      <c r="D209" s="3">
        <v>45463</v>
      </c>
      <c r="H209" t="s">
        <v>226</v>
      </c>
    </row>
    <row r="210" spans="4:8">
      <c r="D210" s="3">
        <v>45464</v>
      </c>
      <c r="H210" t="s">
        <v>227</v>
      </c>
    </row>
    <row r="211" spans="4:8">
      <c r="D211" s="3">
        <v>45465</v>
      </c>
      <c r="H211" t="s">
        <v>228</v>
      </c>
    </row>
    <row r="212" spans="4:8">
      <c r="D212" s="3">
        <v>45466</v>
      </c>
      <c r="H212" t="s">
        <v>229</v>
      </c>
    </row>
    <row r="213" spans="4:8">
      <c r="D213" s="3">
        <v>45467</v>
      </c>
      <c r="H213" t="s">
        <v>230</v>
      </c>
    </row>
    <row r="214" spans="4:8">
      <c r="D214" s="3">
        <v>45468</v>
      </c>
      <c r="H214" t="s">
        <v>231</v>
      </c>
    </row>
    <row r="215" spans="4:8">
      <c r="D215" s="3">
        <v>45469</v>
      </c>
      <c r="H215" t="s">
        <v>232</v>
      </c>
    </row>
    <row r="216" spans="4:8">
      <c r="D216" s="3">
        <v>45470</v>
      </c>
      <c r="H216" t="s">
        <v>233</v>
      </c>
    </row>
    <row r="217" spans="4:8">
      <c r="D217" s="3">
        <v>45471</v>
      </c>
      <c r="H217" t="s">
        <v>234</v>
      </c>
    </row>
    <row r="218" spans="4:8">
      <c r="D218" s="3">
        <v>45472</v>
      </c>
      <c r="H218" t="s">
        <v>235</v>
      </c>
    </row>
    <row r="219" spans="4:8">
      <c r="D219" s="3">
        <v>45473</v>
      </c>
      <c r="H219" t="s">
        <v>236</v>
      </c>
    </row>
    <row r="220" spans="4:8">
      <c r="D220" s="3">
        <v>45474</v>
      </c>
      <c r="H220" t="s">
        <v>237</v>
      </c>
    </row>
    <row r="221" spans="4:8">
      <c r="D221" s="3">
        <v>45475</v>
      </c>
      <c r="H221" t="s">
        <v>238</v>
      </c>
    </row>
    <row r="222" spans="4:8">
      <c r="D222" s="3">
        <v>45476</v>
      </c>
      <c r="H222" t="s">
        <v>239</v>
      </c>
    </row>
    <row r="223" spans="4:8">
      <c r="D223" s="3">
        <v>45477</v>
      </c>
      <c r="H223" t="s">
        <v>240</v>
      </c>
    </row>
    <row r="224" spans="4:8">
      <c r="D224" s="3">
        <v>45478</v>
      </c>
      <c r="H224" t="s">
        <v>241</v>
      </c>
    </row>
    <row r="225" spans="4:8">
      <c r="D225" s="3">
        <v>45479</v>
      </c>
      <c r="H225" t="s">
        <v>242</v>
      </c>
    </row>
    <row r="226" spans="4:8">
      <c r="D226" s="3">
        <v>45480</v>
      </c>
      <c r="H226" t="s">
        <v>243</v>
      </c>
    </row>
    <row r="227" spans="4:8">
      <c r="D227" s="3">
        <v>45481</v>
      </c>
      <c r="H227" t="s">
        <v>244</v>
      </c>
    </row>
    <row r="228" spans="4:8">
      <c r="D228" s="3">
        <v>45482</v>
      </c>
      <c r="H228" t="s">
        <v>245</v>
      </c>
    </row>
    <row r="229" spans="4:8">
      <c r="D229" s="3">
        <v>45483</v>
      </c>
      <c r="H229" t="s">
        <v>246</v>
      </c>
    </row>
    <row r="230" spans="4:8">
      <c r="D230" s="3">
        <v>45484</v>
      </c>
      <c r="H230" t="s">
        <v>247</v>
      </c>
    </row>
    <row r="231" spans="4:8">
      <c r="D231" s="3">
        <v>45485</v>
      </c>
      <c r="H231" t="s">
        <v>248</v>
      </c>
    </row>
    <row r="232" spans="4:8">
      <c r="D232" s="3">
        <v>45486</v>
      </c>
      <c r="H232" t="s">
        <v>249</v>
      </c>
    </row>
    <row r="233" spans="4:8">
      <c r="D233" s="3">
        <v>45487</v>
      </c>
      <c r="H233" t="s">
        <v>250</v>
      </c>
    </row>
    <row r="234" spans="4:8">
      <c r="D234" s="3">
        <v>45488</v>
      </c>
      <c r="H234" t="s">
        <v>251</v>
      </c>
    </row>
    <row r="235" spans="4:8">
      <c r="D235" s="3">
        <v>45489</v>
      </c>
      <c r="H235" t="s">
        <v>252</v>
      </c>
    </row>
    <row r="236" spans="4:8">
      <c r="D236" s="3">
        <v>45490</v>
      </c>
      <c r="H236" t="s">
        <v>253</v>
      </c>
    </row>
    <row r="237" spans="4:8">
      <c r="D237" s="3">
        <v>45491</v>
      </c>
      <c r="H237" t="s">
        <v>254</v>
      </c>
    </row>
    <row r="238" spans="4:8">
      <c r="D238" s="3">
        <v>45492</v>
      </c>
      <c r="H238" t="s">
        <v>255</v>
      </c>
    </row>
    <row r="239" spans="4:8">
      <c r="D239" s="3">
        <v>45493</v>
      </c>
      <c r="H239" t="s">
        <v>256</v>
      </c>
    </row>
    <row r="240" spans="4:8">
      <c r="D240" s="3">
        <v>45494</v>
      </c>
      <c r="H240" t="s">
        <v>257</v>
      </c>
    </row>
    <row r="241" spans="4:8">
      <c r="D241" s="3">
        <v>45495</v>
      </c>
      <c r="H241" t="s">
        <v>258</v>
      </c>
    </row>
    <row r="242" spans="4:8">
      <c r="D242" s="3">
        <v>45496</v>
      </c>
      <c r="H242" t="s">
        <v>259</v>
      </c>
    </row>
    <row r="243" spans="4:8">
      <c r="D243" s="3">
        <v>45497</v>
      </c>
      <c r="H243" t="s">
        <v>260</v>
      </c>
    </row>
    <row r="244" spans="4:8">
      <c r="D244" s="3">
        <v>45498</v>
      </c>
      <c r="H244" t="s">
        <v>261</v>
      </c>
    </row>
    <row r="245" spans="4:8">
      <c r="D245" s="3">
        <v>45499</v>
      </c>
      <c r="H245" t="s">
        <v>262</v>
      </c>
    </row>
    <row r="246" spans="4:8">
      <c r="D246" s="3">
        <v>45500</v>
      </c>
      <c r="H246" t="s">
        <v>263</v>
      </c>
    </row>
    <row r="247" spans="4:8">
      <c r="D247" s="3">
        <v>45501</v>
      </c>
      <c r="H247" t="s">
        <v>264</v>
      </c>
    </row>
    <row r="248" spans="4:8">
      <c r="D248" s="3">
        <v>45502</v>
      </c>
      <c r="H248" t="s">
        <v>265</v>
      </c>
    </row>
    <row r="249" spans="4:8">
      <c r="D249" s="3">
        <v>45503</v>
      </c>
      <c r="H249" t="s">
        <v>266</v>
      </c>
    </row>
    <row r="250" spans="4:8">
      <c r="D250" s="3">
        <v>45504</v>
      </c>
      <c r="H250" t="s">
        <v>267</v>
      </c>
    </row>
    <row r="251" spans="4:8">
      <c r="D251" s="3">
        <v>45505</v>
      </c>
      <c r="H251" t="s">
        <v>268</v>
      </c>
    </row>
    <row r="252" spans="4:8">
      <c r="D252" s="3">
        <v>45506</v>
      </c>
      <c r="H252" t="s">
        <v>269</v>
      </c>
    </row>
    <row r="253" spans="4:8">
      <c r="D253" s="3">
        <v>45507</v>
      </c>
      <c r="H253" t="s">
        <v>270</v>
      </c>
    </row>
    <row r="254" spans="4:8">
      <c r="D254" s="3">
        <v>45508</v>
      </c>
      <c r="H254" t="s">
        <v>271</v>
      </c>
    </row>
    <row r="255" spans="4:8">
      <c r="D255" s="3">
        <v>45509</v>
      </c>
      <c r="H255" t="s">
        <v>272</v>
      </c>
    </row>
    <row r="256" spans="4:8">
      <c r="D256" s="3">
        <v>45510</v>
      </c>
      <c r="H256" t="s">
        <v>273</v>
      </c>
    </row>
    <row r="257" spans="4:8">
      <c r="D257" s="3">
        <v>45511</v>
      </c>
      <c r="H257" t="s">
        <v>274</v>
      </c>
    </row>
    <row r="258" spans="4:8">
      <c r="D258" s="3">
        <v>45512</v>
      </c>
      <c r="H258" t="s">
        <v>275</v>
      </c>
    </row>
    <row r="259" spans="4:8">
      <c r="D259" s="3">
        <v>45513</v>
      </c>
      <c r="H259" t="s">
        <v>276</v>
      </c>
    </row>
    <row r="260" spans="4:8">
      <c r="D260" s="3">
        <v>45514</v>
      </c>
      <c r="H260" t="s">
        <v>277</v>
      </c>
    </row>
    <row r="261" spans="4:8">
      <c r="D261" s="3">
        <v>45515</v>
      </c>
      <c r="H261" t="s">
        <v>278</v>
      </c>
    </row>
    <row r="262" spans="4:8">
      <c r="D262" s="3">
        <v>45516</v>
      </c>
      <c r="H262" t="s">
        <v>279</v>
      </c>
    </row>
    <row r="263" spans="4:8">
      <c r="D263" s="3">
        <v>45517</v>
      </c>
      <c r="H263" t="s">
        <v>280</v>
      </c>
    </row>
    <row r="264" spans="4:8">
      <c r="D264" s="3">
        <v>45518</v>
      </c>
      <c r="H264" t="s">
        <v>281</v>
      </c>
    </row>
    <row r="265" spans="4:8">
      <c r="D265" s="3">
        <v>45519</v>
      </c>
      <c r="H265" t="s">
        <v>282</v>
      </c>
    </row>
    <row r="266" spans="4:8">
      <c r="D266" s="3">
        <v>45520</v>
      </c>
      <c r="H266" t="s">
        <v>283</v>
      </c>
    </row>
    <row r="267" spans="4:8">
      <c r="D267" s="3">
        <v>45521</v>
      </c>
      <c r="H267" t="s">
        <v>284</v>
      </c>
    </row>
    <row r="268" spans="4:8">
      <c r="D268" s="3">
        <v>45522</v>
      </c>
      <c r="H268" t="s">
        <v>285</v>
      </c>
    </row>
    <row r="269" spans="4:8">
      <c r="D269" s="3">
        <v>45523</v>
      </c>
      <c r="H269" t="s">
        <v>286</v>
      </c>
    </row>
    <row r="270" spans="4:8">
      <c r="D270" s="3">
        <v>45524</v>
      </c>
      <c r="H270" t="s">
        <v>287</v>
      </c>
    </row>
    <row r="271" spans="4:8">
      <c r="D271" s="3">
        <v>45525</v>
      </c>
      <c r="H271" t="s">
        <v>288</v>
      </c>
    </row>
    <row r="272" spans="4:8">
      <c r="D272" s="3">
        <v>45526</v>
      </c>
      <c r="H272" t="s">
        <v>289</v>
      </c>
    </row>
    <row r="273" spans="4:8">
      <c r="D273" s="3">
        <v>45527</v>
      </c>
      <c r="H273" t="s">
        <v>290</v>
      </c>
    </row>
    <row r="274" spans="4:8">
      <c r="D274" s="3">
        <v>45528</v>
      </c>
      <c r="H274" t="s">
        <v>291</v>
      </c>
    </row>
    <row r="275" spans="4:8">
      <c r="D275" s="3">
        <v>45529</v>
      </c>
      <c r="H275" t="s">
        <v>292</v>
      </c>
    </row>
    <row r="276" spans="4:8">
      <c r="D276" s="3">
        <v>45530</v>
      </c>
      <c r="H276" t="s">
        <v>293</v>
      </c>
    </row>
    <row r="277" spans="4:8">
      <c r="D277" s="3">
        <v>45531</v>
      </c>
      <c r="H277" t="s">
        <v>294</v>
      </c>
    </row>
    <row r="278" spans="4:8">
      <c r="D278" s="3">
        <v>45532</v>
      </c>
      <c r="H278" t="s">
        <v>295</v>
      </c>
    </row>
    <row r="279" spans="4:8">
      <c r="D279" s="3">
        <v>45533</v>
      </c>
      <c r="H279" t="s">
        <v>296</v>
      </c>
    </row>
    <row r="280" spans="4:8">
      <c r="D280" s="3">
        <v>45534</v>
      </c>
      <c r="H280" t="s">
        <v>297</v>
      </c>
    </row>
    <row r="281" spans="4:8">
      <c r="D281" s="3">
        <v>45535</v>
      </c>
      <c r="H281" t="s">
        <v>298</v>
      </c>
    </row>
    <row r="282" spans="4:8">
      <c r="D282" s="3">
        <v>45536</v>
      </c>
      <c r="H282" t="s">
        <v>299</v>
      </c>
    </row>
    <row r="283" spans="4:8">
      <c r="D283" s="3">
        <v>45537</v>
      </c>
      <c r="H283" t="s">
        <v>300</v>
      </c>
    </row>
    <row r="284" spans="4:8">
      <c r="D284" s="3">
        <v>45538</v>
      </c>
      <c r="H284" t="s">
        <v>301</v>
      </c>
    </row>
    <row r="285" spans="4:8">
      <c r="D285" s="3">
        <v>45539</v>
      </c>
      <c r="H285" t="s">
        <v>302</v>
      </c>
    </row>
    <row r="286" spans="4:8">
      <c r="D286" s="3">
        <v>45540</v>
      </c>
      <c r="H286" t="s">
        <v>303</v>
      </c>
    </row>
    <row r="287" spans="4:8">
      <c r="D287" s="3">
        <v>45541</v>
      </c>
      <c r="H287" t="s">
        <v>304</v>
      </c>
    </row>
    <row r="288" spans="4:8">
      <c r="D288" s="3">
        <v>45542</v>
      </c>
      <c r="H288" t="s">
        <v>305</v>
      </c>
    </row>
    <row r="289" spans="4:8">
      <c r="D289" s="3">
        <v>45543</v>
      </c>
      <c r="H289" t="s">
        <v>306</v>
      </c>
    </row>
    <row r="290" spans="4:8">
      <c r="D290" s="3">
        <v>45544</v>
      </c>
      <c r="H290" t="s">
        <v>307</v>
      </c>
    </row>
    <row r="291" spans="4:8">
      <c r="D291" s="3">
        <v>45545</v>
      </c>
      <c r="H291" t="s">
        <v>308</v>
      </c>
    </row>
    <row r="292" spans="4:8">
      <c r="D292" s="3">
        <v>45546</v>
      </c>
      <c r="H292" t="s">
        <v>309</v>
      </c>
    </row>
    <row r="293" spans="4:8">
      <c r="D293" s="3">
        <v>45547</v>
      </c>
      <c r="H293" t="s">
        <v>310</v>
      </c>
    </row>
    <row r="294" spans="4:8">
      <c r="D294" s="3">
        <v>45548</v>
      </c>
      <c r="H294" t="s">
        <v>311</v>
      </c>
    </row>
    <row r="295" spans="4:8">
      <c r="D295" s="3">
        <v>45549</v>
      </c>
      <c r="H295" t="s">
        <v>312</v>
      </c>
    </row>
    <row r="296" spans="4:8">
      <c r="D296" s="3">
        <v>45550</v>
      </c>
      <c r="H296" t="s">
        <v>313</v>
      </c>
    </row>
    <row r="297" spans="4:8">
      <c r="D297" s="3">
        <v>45551</v>
      </c>
      <c r="H297" t="s">
        <v>314</v>
      </c>
    </row>
    <row r="298" spans="4:8">
      <c r="D298" s="3">
        <v>45552</v>
      </c>
      <c r="H298" t="s">
        <v>315</v>
      </c>
    </row>
    <row r="299" spans="4:8">
      <c r="D299" s="3">
        <v>45553</v>
      </c>
      <c r="H299" t="s">
        <v>316</v>
      </c>
    </row>
    <row r="300" spans="4:8">
      <c r="D300" s="3">
        <v>45554</v>
      </c>
      <c r="H300" t="s">
        <v>317</v>
      </c>
    </row>
    <row r="301" spans="4:8">
      <c r="D301" s="3">
        <v>45555</v>
      </c>
      <c r="H301" t="s">
        <v>318</v>
      </c>
    </row>
    <row r="302" spans="4:8">
      <c r="D302" s="3">
        <v>45556</v>
      </c>
      <c r="H302" t="s">
        <v>319</v>
      </c>
    </row>
    <row r="303" spans="4:8">
      <c r="D303" s="3">
        <v>45557</v>
      </c>
      <c r="H303" t="s">
        <v>320</v>
      </c>
    </row>
    <row r="304" spans="4:8">
      <c r="D304" s="3">
        <v>45558</v>
      </c>
      <c r="H304" t="s">
        <v>321</v>
      </c>
    </row>
    <row r="305" spans="4:8">
      <c r="D305" s="3">
        <v>45559</v>
      </c>
      <c r="H305" t="s">
        <v>322</v>
      </c>
    </row>
    <row r="306" spans="4:8">
      <c r="D306" s="3">
        <v>45560</v>
      </c>
      <c r="H306" t="s">
        <v>323</v>
      </c>
    </row>
    <row r="307" spans="4:8">
      <c r="D307" s="3">
        <v>45561</v>
      </c>
      <c r="H307" t="s">
        <v>324</v>
      </c>
    </row>
    <row r="308" spans="4:8">
      <c r="D308" s="3">
        <v>45562</v>
      </c>
      <c r="H308" t="s">
        <v>325</v>
      </c>
    </row>
    <row r="309" spans="4:8">
      <c r="D309" s="3">
        <v>45563</v>
      </c>
      <c r="H309" t="s">
        <v>326</v>
      </c>
    </row>
    <row r="310" spans="4:8">
      <c r="D310" s="3">
        <v>45564</v>
      </c>
      <c r="H310" t="s">
        <v>327</v>
      </c>
    </row>
    <row r="311" spans="4:8">
      <c r="D311" s="3">
        <v>45565</v>
      </c>
      <c r="H311" t="s">
        <v>328</v>
      </c>
    </row>
    <row r="312" spans="4:8">
      <c r="D312" s="3">
        <v>45566</v>
      </c>
      <c r="H312" t="s">
        <v>329</v>
      </c>
    </row>
    <row r="313" spans="4:8">
      <c r="D313" s="3">
        <v>45567</v>
      </c>
      <c r="H313" t="s">
        <v>330</v>
      </c>
    </row>
    <row r="314" spans="4:8">
      <c r="D314" s="3">
        <v>45568</v>
      </c>
      <c r="H314" t="s">
        <v>331</v>
      </c>
    </row>
    <row r="315" spans="4:8">
      <c r="D315" s="3">
        <v>45569</v>
      </c>
      <c r="H315" t="s">
        <v>332</v>
      </c>
    </row>
    <row r="316" spans="4:8">
      <c r="D316" s="3">
        <v>45570</v>
      </c>
      <c r="H316" t="s">
        <v>333</v>
      </c>
    </row>
    <row r="317" spans="4:8">
      <c r="D317" s="3">
        <v>45571</v>
      </c>
      <c r="H317" t="s">
        <v>334</v>
      </c>
    </row>
    <row r="318" spans="4:8">
      <c r="D318" s="3">
        <v>45572</v>
      </c>
      <c r="H318" t="s">
        <v>335</v>
      </c>
    </row>
    <row r="319" spans="4:8">
      <c r="D319" s="3">
        <v>45573</v>
      </c>
      <c r="H319" t="s">
        <v>336</v>
      </c>
    </row>
    <row r="320" spans="4:8">
      <c r="D320" s="3">
        <v>45574</v>
      </c>
      <c r="H320" t="s">
        <v>337</v>
      </c>
    </row>
    <row r="321" spans="4:8">
      <c r="D321" s="3">
        <v>45575</v>
      </c>
      <c r="H321" t="s">
        <v>338</v>
      </c>
    </row>
    <row r="322" spans="4:8">
      <c r="D322" s="3">
        <v>45576</v>
      </c>
      <c r="H322" t="s">
        <v>339</v>
      </c>
    </row>
    <row r="323" spans="4:8">
      <c r="D323" s="3">
        <v>45577</v>
      </c>
      <c r="H323" t="s">
        <v>340</v>
      </c>
    </row>
    <row r="324" spans="4:8">
      <c r="D324" s="3">
        <v>45578</v>
      </c>
      <c r="H324" t="s">
        <v>341</v>
      </c>
    </row>
    <row r="325" spans="4:8">
      <c r="D325" s="3">
        <v>45579</v>
      </c>
      <c r="H325" t="s">
        <v>342</v>
      </c>
    </row>
    <row r="326" spans="4:8">
      <c r="D326" s="3">
        <v>45580</v>
      </c>
      <c r="H326" t="s">
        <v>343</v>
      </c>
    </row>
    <row r="327" spans="4:8">
      <c r="D327" s="3">
        <v>45581</v>
      </c>
      <c r="H327" t="s">
        <v>344</v>
      </c>
    </row>
    <row r="328" spans="4:8">
      <c r="D328" s="3">
        <v>45582</v>
      </c>
      <c r="H328" t="s">
        <v>345</v>
      </c>
    </row>
    <row r="329" spans="4:8">
      <c r="D329" s="3">
        <v>45583</v>
      </c>
      <c r="H329" t="s">
        <v>346</v>
      </c>
    </row>
    <row r="330" spans="4:8">
      <c r="D330" s="3">
        <v>45584</v>
      </c>
      <c r="H330" t="s">
        <v>347</v>
      </c>
    </row>
    <row r="331" spans="4:8">
      <c r="D331" s="3">
        <v>45585</v>
      </c>
      <c r="H331" t="s">
        <v>348</v>
      </c>
    </row>
    <row r="332" spans="4:8">
      <c r="D332" s="3">
        <v>45586</v>
      </c>
      <c r="H332" t="s">
        <v>349</v>
      </c>
    </row>
    <row r="333" spans="4:8">
      <c r="D333" s="3">
        <v>45587</v>
      </c>
      <c r="H333" t="s">
        <v>350</v>
      </c>
    </row>
    <row r="334" spans="4:8">
      <c r="D334" s="3">
        <v>45588</v>
      </c>
      <c r="H334" t="s">
        <v>351</v>
      </c>
    </row>
    <row r="335" spans="4:8">
      <c r="D335" s="3">
        <v>45589</v>
      </c>
      <c r="H335" t="s">
        <v>352</v>
      </c>
    </row>
    <row r="336" spans="4:8">
      <c r="D336" s="3">
        <v>45590</v>
      </c>
      <c r="H336" t="s">
        <v>353</v>
      </c>
    </row>
    <row r="337" spans="4:8">
      <c r="D337" s="3">
        <v>45591</v>
      </c>
      <c r="H337" t="s">
        <v>354</v>
      </c>
    </row>
    <row r="338" spans="4:8">
      <c r="D338" s="3">
        <v>45592</v>
      </c>
      <c r="H338" t="s">
        <v>355</v>
      </c>
    </row>
    <row r="339" spans="4:8">
      <c r="D339" s="3">
        <v>45593</v>
      </c>
      <c r="H339" t="s">
        <v>356</v>
      </c>
    </row>
    <row r="340" spans="4:8">
      <c r="D340" s="3">
        <v>45594</v>
      </c>
      <c r="H340" t="s">
        <v>357</v>
      </c>
    </row>
    <row r="341" spans="4:8">
      <c r="D341" s="3">
        <v>45595</v>
      </c>
      <c r="H341" t="s">
        <v>358</v>
      </c>
    </row>
    <row r="342" spans="4:8">
      <c r="D342" s="3">
        <v>45596</v>
      </c>
      <c r="H342" t="s">
        <v>359</v>
      </c>
    </row>
    <row r="343" spans="4:8">
      <c r="D343" s="3">
        <v>45597</v>
      </c>
      <c r="H343" t="s">
        <v>360</v>
      </c>
    </row>
    <row r="344" spans="4:8">
      <c r="D344" s="3">
        <v>45598</v>
      </c>
      <c r="H344" t="s">
        <v>361</v>
      </c>
    </row>
    <row r="345" spans="4:8">
      <c r="D345" s="3">
        <v>45599</v>
      </c>
      <c r="H345" t="s">
        <v>362</v>
      </c>
    </row>
    <row r="346" spans="4:8">
      <c r="D346" s="3">
        <v>45600</v>
      </c>
      <c r="H346" t="s">
        <v>363</v>
      </c>
    </row>
    <row r="347" spans="4:8">
      <c r="D347" s="3">
        <v>45601</v>
      </c>
      <c r="H347" t="s">
        <v>364</v>
      </c>
    </row>
    <row r="348" spans="4:8">
      <c r="D348" s="3">
        <v>45602</v>
      </c>
      <c r="H348" t="s">
        <v>365</v>
      </c>
    </row>
    <row r="349" spans="4:8">
      <c r="D349" s="3">
        <v>45603</v>
      </c>
      <c r="H349" t="s">
        <v>366</v>
      </c>
    </row>
    <row r="350" spans="4:8">
      <c r="D350" s="3">
        <v>45604</v>
      </c>
      <c r="H350" t="s">
        <v>367</v>
      </c>
    </row>
    <row r="351" spans="4:8">
      <c r="D351" s="3">
        <v>45605</v>
      </c>
      <c r="H351" t="s">
        <v>368</v>
      </c>
    </row>
    <row r="352" spans="4:8">
      <c r="D352" s="3">
        <v>45606</v>
      </c>
      <c r="H352" t="s">
        <v>369</v>
      </c>
    </row>
    <row r="353" spans="4:8">
      <c r="D353" s="3">
        <v>45607</v>
      </c>
      <c r="H353" t="s">
        <v>370</v>
      </c>
    </row>
    <row r="354" spans="4:8">
      <c r="D354" s="3">
        <v>45608</v>
      </c>
      <c r="H354" t="s">
        <v>371</v>
      </c>
    </row>
    <row r="355" spans="4:8">
      <c r="D355" s="3">
        <v>45609</v>
      </c>
      <c r="H355" t="s">
        <v>372</v>
      </c>
    </row>
    <row r="356" spans="4:8">
      <c r="D356" s="3">
        <v>45610</v>
      </c>
      <c r="H356" t="s">
        <v>373</v>
      </c>
    </row>
    <row r="357" spans="4:8">
      <c r="D357" s="3">
        <v>45611</v>
      </c>
      <c r="H357" t="s">
        <v>374</v>
      </c>
    </row>
    <row r="358" spans="4:8">
      <c r="D358" s="3">
        <v>45612</v>
      </c>
      <c r="H358" t="s">
        <v>375</v>
      </c>
    </row>
    <row r="359" spans="4:8">
      <c r="D359" s="3">
        <v>45613</v>
      </c>
      <c r="H359" t="s">
        <v>376</v>
      </c>
    </row>
    <row r="360" spans="4:8">
      <c r="D360" s="3">
        <v>45614</v>
      </c>
      <c r="H360" t="s">
        <v>377</v>
      </c>
    </row>
    <row r="361" spans="4:8">
      <c r="D361" s="3">
        <v>45615</v>
      </c>
      <c r="H361" t="s">
        <v>378</v>
      </c>
    </row>
    <row r="362" spans="4:8">
      <c r="D362" s="3">
        <v>45616</v>
      </c>
      <c r="H362" t="s">
        <v>379</v>
      </c>
    </row>
    <row r="363" spans="4:8">
      <c r="D363" s="3">
        <v>45617</v>
      </c>
      <c r="H363" t="s">
        <v>380</v>
      </c>
    </row>
    <row r="364" spans="4:8">
      <c r="D364" s="3">
        <v>45618</v>
      </c>
      <c r="H364" t="s">
        <v>381</v>
      </c>
    </row>
    <row r="365" spans="4:8">
      <c r="D365" s="3">
        <v>45619</v>
      </c>
      <c r="H365" t="s">
        <v>382</v>
      </c>
    </row>
    <row r="366" spans="4:8">
      <c r="D366" s="3">
        <v>45620</v>
      </c>
      <c r="H366" t="s">
        <v>383</v>
      </c>
    </row>
    <row r="367" spans="4:8">
      <c r="D367" s="3">
        <v>45621</v>
      </c>
      <c r="H367" t="s">
        <v>384</v>
      </c>
    </row>
    <row r="368" spans="4:8">
      <c r="D368" s="3">
        <v>45622</v>
      </c>
      <c r="H368" t="s">
        <v>385</v>
      </c>
    </row>
    <row r="369" spans="4:8">
      <c r="D369" s="3">
        <v>45623</v>
      </c>
      <c r="H369" t="s">
        <v>386</v>
      </c>
    </row>
    <row r="370" spans="4:8">
      <c r="D370" s="3">
        <v>45624</v>
      </c>
      <c r="H370" t="s">
        <v>387</v>
      </c>
    </row>
    <row r="371" spans="4:8">
      <c r="D371" s="3">
        <v>45625</v>
      </c>
      <c r="H371" t="s">
        <v>388</v>
      </c>
    </row>
    <row r="372" spans="4:8">
      <c r="D372" s="3">
        <v>45626</v>
      </c>
      <c r="H372" t="s">
        <v>389</v>
      </c>
    </row>
    <row r="373" spans="4:8">
      <c r="D373" s="3">
        <v>45627</v>
      </c>
      <c r="H373" t="s">
        <v>390</v>
      </c>
    </row>
    <row r="374" spans="4:8">
      <c r="D374" s="3">
        <v>45628</v>
      </c>
      <c r="H374" t="s">
        <v>391</v>
      </c>
    </row>
    <row r="375" spans="4:8">
      <c r="D375" s="3">
        <v>45629</v>
      </c>
      <c r="H375" t="s">
        <v>392</v>
      </c>
    </row>
    <row r="376" spans="4:8">
      <c r="D376" s="3">
        <v>45630</v>
      </c>
    </row>
    <row r="377" spans="4:8">
      <c r="D377" s="3">
        <v>45631</v>
      </c>
    </row>
    <row r="378" spans="4:8">
      <c r="D378" s="3">
        <v>45632</v>
      </c>
    </row>
    <row r="379" spans="4:8">
      <c r="D379" s="3">
        <v>45633</v>
      </c>
    </row>
    <row r="380" spans="4:8">
      <c r="D380" s="3">
        <v>45634</v>
      </c>
    </row>
    <row r="381" spans="4:8">
      <c r="D381" s="3">
        <v>45635</v>
      </c>
    </row>
    <row r="382" spans="4:8">
      <c r="D382" s="3">
        <v>45636</v>
      </c>
    </row>
    <row r="383" spans="4:8">
      <c r="D383" s="3">
        <v>45637</v>
      </c>
    </row>
    <row r="384" spans="4:8">
      <c r="D384" s="3">
        <v>45638</v>
      </c>
      <c r="H384" t="s">
        <v>535</v>
      </c>
    </row>
    <row r="385" spans="4:4">
      <c r="D385" s="3">
        <v>45639</v>
      </c>
    </row>
    <row r="386" spans="4:4">
      <c r="D386" s="3">
        <v>45640</v>
      </c>
    </row>
    <row r="387" spans="4:4">
      <c r="D387" s="3">
        <v>45641</v>
      </c>
    </row>
    <row r="388" spans="4:4">
      <c r="D388" s="3">
        <v>45642</v>
      </c>
    </row>
    <row r="389" spans="4:4">
      <c r="D389" s="3">
        <v>45643</v>
      </c>
    </row>
    <row r="390" spans="4:4">
      <c r="D390" s="3">
        <v>45644</v>
      </c>
    </row>
    <row r="391" spans="4:4">
      <c r="D391" s="3">
        <v>45645</v>
      </c>
    </row>
    <row r="392" spans="4:4">
      <c r="D392" s="3">
        <v>45646</v>
      </c>
    </row>
    <row r="393" spans="4:4">
      <c r="D393" s="3">
        <v>45647</v>
      </c>
    </row>
    <row r="394" spans="4:4">
      <c r="D394" s="3">
        <v>45648</v>
      </c>
    </row>
    <row r="395" spans="4:4">
      <c r="D395" s="3">
        <v>45649</v>
      </c>
    </row>
    <row r="396" spans="4:4">
      <c r="D396" s="3">
        <v>45650</v>
      </c>
    </row>
    <row r="397" spans="4:4">
      <c r="D397" s="3">
        <v>45651</v>
      </c>
    </row>
    <row r="398" spans="4:4">
      <c r="D398" s="3">
        <v>45652</v>
      </c>
    </row>
    <row r="399" spans="4:4">
      <c r="D399" s="3">
        <v>45653</v>
      </c>
    </row>
    <row r="400" spans="4:4">
      <c r="D400" s="3">
        <v>45654</v>
      </c>
    </row>
    <row r="401" spans="4:4">
      <c r="D401" s="3">
        <v>45655</v>
      </c>
    </row>
    <row r="402" spans="4:4">
      <c r="D402" s="3">
        <v>45656</v>
      </c>
    </row>
    <row r="403" spans="4:4">
      <c r="D403" s="3">
        <v>45657</v>
      </c>
    </row>
  </sheetData>
  <mergeCells count="3">
    <mergeCell ref="B4:D4"/>
    <mergeCell ref="F4:H4"/>
    <mergeCell ref="B2:J2"/>
  </mergeCells>
  <phoneticPr fontId="2" type="noConversion"/>
  <pageMargins left="0.7" right="0.7" top="0.75" bottom="0.75" header="0.3" footer="0.3"/>
  <ignoredErrors>
    <ignoredError sqref="H6:H375" listDataValidation="1"/>
  </ignoredErrors>
  <drawing r:id="rId1"/>
  <legacyDrawing r:id="rId2"/>
  <tableParts count="15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9322C6C-A211-488A-A85F-3CF98CA041DE}">
          <x14:formula1>
            <xm:f>EnterInfo!$C$20</xm:f>
          </x14:formula1>
          <xm:sqref>H7:H375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2044CE5-5984-4631-91D4-6C02A71A57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22</vt:i4>
      </vt:variant>
    </vt:vector>
  </HeadingPairs>
  <TitlesOfParts>
    <vt:vector size="28" baseType="lpstr">
      <vt:lpstr>EnterInfo</vt:lpstr>
      <vt:lpstr>PetProfileInfoDatabase</vt:lpstr>
      <vt:lpstr>OwnerProfileInfoDatabase</vt:lpstr>
      <vt:lpstr>AppointmentInfoDatabase</vt:lpstr>
      <vt:lpstr>AppointmentConfirmationDatabase</vt:lpstr>
      <vt:lpstr>Data.EnterInfo</vt:lpstr>
      <vt:lpstr>AddressLine1</vt:lpstr>
      <vt:lpstr>AddressLine2</vt:lpstr>
      <vt:lpstr>DateTable</vt:lpstr>
      <vt:lpstr>EmailAddress</vt:lpstr>
      <vt:lpstr>Find_My_Pet</vt:lpstr>
      <vt:lpstr>Groomer</vt:lpstr>
      <vt:lpstr>OwnerFirstname</vt:lpstr>
      <vt:lpstr>OwnerLastname</vt:lpstr>
      <vt:lpstr>Pet</vt:lpstr>
      <vt:lpstr>Petgo_Location</vt:lpstr>
      <vt:lpstr>PhoneNumber</vt:lpstr>
      <vt:lpstr>AppointmentConfirmationDatabase!Print_Area</vt:lpstr>
      <vt:lpstr>AppointmentInfoDatabase!Print_Area</vt:lpstr>
      <vt:lpstr>EnterInfo!Print_Area</vt:lpstr>
      <vt:lpstr>OwnerProfileInfoDatabase!Print_Area</vt:lpstr>
      <vt:lpstr>PetProfileInfoDatabase!Print_Area</vt:lpstr>
      <vt:lpstr>Search_Pets</vt:lpstr>
      <vt:lpstr>SelectAppointmentDate</vt:lpstr>
      <vt:lpstr>SelectAppointmentTime</vt:lpstr>
      <vt:lpstr>SelectService</vt:lpstr>
      <vt:lpstr>SelectUpgrade</vt:lpstr>
      <vt:lpstr>Data.EnterInfo!State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 Palmisano</dc:creator>
  <cp:lastModifiedBy>cami gair</cp:lastModifiedBy>
  <cp:lastPrinted>2024-07-22T22:26:16Z</cp:lastPrinted>
  <dcterms:created xsi:type="dcterms:W3CDTF">2023-12-01T20:52:32Z</dcterms:created>
  <dcterms:modified xsi:type="dcterms:W3CDTF">2024-07-25T17:11:17Z</dcterms:modified>
</cp:coreProperties>
</file>